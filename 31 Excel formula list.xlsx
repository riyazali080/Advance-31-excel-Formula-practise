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P\Desktop\AI_Excel_with_Satish_dhawale\"/>
    </mc:Choice>
  </mc:AlternateContent>
  <xr:revisionPtr revIDLastSave="0" documentId="13_ncr:1_{6A0AA48B-3347-41E5-9564-E47B868364F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REQUENCY" sheetId="1" r:id="rId1"/>
    <sheet name="LOOKUP" sheetId="3" r:id="rId2"/>
    <sheet name="VLOOKUP" sheetId="4" r:id="rId3"/>
    <sheet name="HLOOKUP" sheetId="5" r:id="rId4"/>
    <sheet name="SUMIF" sheetId="6" r:id="rId5"/>
    <sheet name="SUMIFS" sheetId="7" r:id="rId6"/>
    <sheet name="SUBTOTAL" sheetId="8" r:id="rId7"/>
    <sheet name="IF FORMULA" sheetId="9" r:id="rId8"/>
    <sheet name="IF AND, OR FORMULA" sheetId="10" r:id="rId9"/>
    <sheet name="Sheet4" sheetId="11" r:id="rId10"/>
    <sheet name="INDEX &amp; MATCH" sheetId="2" r:id="rId11"/>
    <sheet name="Sheet1" sheetId="12" r:id="rId12"/>
  </sheets>
  <definedNames>
    <definedName name="LIST1">VLOOKUP!$A:$E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6" i="12" l="1"/>
  <c r="J4" i="2"/>
  <c r="I12" i="12"/>
  <c r="I3" i="12"/>
  <c r="I4" i="12"/>
  <c r="I5" i="12"/>
  <c r="I6" i="12"/>
  <c r="I7" i="12"/>
  <c r="I8" i="12"/>
  <c r="I9" i="12"/>
  <c r="I10" i="12"/>
  <c r="I11" i="12"/>
  <c r="I2" i="12"/>
  <c r="H12" i="12"/>
  <c r="H3" i="12"/>
  <c r="H4" i="12"/>
  <c r="H5" i="12"/>
  <c r="H6" i="12"/>
  <c r="H7" i="12"/>
  <c r="H8" i="12"/>
  <c r="H9" i="12"/>
  <c r="H10" i="12"/>
  <c r="H11" i="12"/>
  <c r="H2" i="12"/>
  <c r="D16" i="12" s="1"/>
  <c r="G12" i="12"/>
  <c r="G3" i="12"/>
  <c r="G4" i="12"/>
  <c r="G5" i="12"/>
  <c r="G6" i="12"/>
  <c r="G7" i="12"/>
  <c r="G8" i="12"/>
  <c r="G9" i="12"/>
  <c r="G10" i="12"/>
  <c r="G11" i="12"/>
  <c r="G2" i="12"/>
  <c r="C9" i="12"/>
  <c r="C8" i="12"/>
  <c r="C7" i="12"/>
  <c r="O7" i="12"/>
  <c r="L7" i="12"/>
  <c r="Q6" i="12"/>
  <c r="H2" i="11"/>
  <c r="G2" i="11"/>
  <c r="E3" i="11"/>
  <c r="E4" i="11"/>
  <c r="E5" i="11"/>
  <c r="E6" i="11"/>
  <c r="E7" i="11"/>
  <c r="E8" i="11"/>
  <c r="E9" i="11"/>
  <c r="E10" i="11"/>
  <c r="E11" i="11"/>
  <c r="E12" i="11"/>
  <c r="E13" i="11"/>
  <c r="E2" i="11"/>
  <c r="F3" i="10"/>
  <c r="F4" i="10"/>
  <c r="F5" i="10"/>
  <c r="F6" i="10"/>
  <c r="F7" i="10"/>
  <c r="F8" i="10"/>
  <c r="F9" i="10"/>
  <c r="F10" i="10"/>
  <c r="F11" i="10"/>
  <c r="F12" i="10"/>
  <c r="F13" i="10"/>
  <c r="F2" i="10"/>
  <c r="E3" i="10"/>
  <c r="E4" i="10"/>
  <c r="E5" i="10"/>
  <c r="E6" i="10"/>
  <c r="E7" i="10"/>
  <c r="E8" i="10"/>
  <c r="E9" i="10"/>
  <c r="E10" i="10"/>
  <c r="E11" i="10"/>
  <c r="E12" i="10"/>
  <c r="E13" i="10"/>
  <c r="E2" i="10"/>
  <c r="D3" i="9"/>
  <c r="D4" i="9"/>
  <c r="D5" i="9"/>
  <c r="D6" i="9"/>
  <c r="D7" i="9"/>
  <c r="D8" i="9"/>
  <c r="D9" i="9"/>
  <c r="D10" i="9"/>
  <c r="D11" i="9"/>
  <c r="D12" i="9"/>
  <c r="D13" i="9"/>
  <c r="D2" i="9"/>
  <c r="D17" i="12" l="1"/>
  <c r="E17" i="12" s="1"/>
  <c r="E16" i="12"/>
  <c r="G3" i="8"/>
  <c r="H2" i="7"/>
  <c r="H3" i="7"/>
  <c r="H4" i="7"/>
  <c r="G3" i="7"/>
  <c r="G4" i="7"/>
  <c r="G2" i="7"/>
  <c r="G3" i="6"/>
  <c r="G4" i="6"/>
  <c r="G2" i="6"/>
  <c r="G11" i="5"/>
  <c r="H11" i="5"/>
  <c r="E11" i="5"/>
  <c r="F11" i="5"/>
  <c r="J3" i="4"/>
  <c r="J4" i="4"/>
  <c r="J5" i="4"/>
  <c r="J2" i="4"/>
  <c r="N2" i="3"/>
  <c r="E2" i="1" a="1"/>
  <c r="E3" i="1" s="1"/>
  <c r="E9" i="1" l="1"/>
  <c r="E8" i="1"/>
  <c r="E10" i="1"/>
  <c r="E6" i="1"/>
  <c r="E4" i="1"/>
  <c r="E2" i="1"/>
  <c r="E7" i="1"/>
  <c r="E5" i="1"/>
</calcChain>
</file>

<file path=xl/sharedStrings.xml><?xml version="1.0" encoding="utf-8"?>
<sst xmlns="http://schemas.openxmlformats.org/spreadsheetml/2006/main" count="430" uniqueCount="149">
  <si>
    <t>Emp ID</t>
  </si>
  <si>
    <t>Emp Name</t>
  </si>
  <si>
    <t>Age</t>
  </si>
  <si>
    <t>Unique</t>
  </si>
  <si>
    <t>frequency</t>
  </si>
  <si>
    <t>Ashok Singh</t>
  </si>
  <si>
    <t>Shankar Jadhav</t>
  </si>
  <si>
    <t>Vinod Kale</t>
  </si>
  <si>
    <t>Rajendra Verma</t>
  </si>
  <si>
    <t>Raj Singh</t>
  </si>
  <si>
    <t>Santosh Kale</t>
  </si>
  <si>
    <t>Sameer Shinde</t>
  </si>
  <si>
    <t>Vinod Singh</t>
  </si>
  <si>
    <t>Ravi Verma</t>
  </si>
  <si>
    <t>Kiran Katekar</t>
  </si>
  <si>
    <t>Ashok Singhania</t>
  </si>
  <si>
    <t>Viresh Pal</t>
  </si>
  <si>
    <t>Vinod Kelkar</t>
  </si>
  <si>
    <t>Rajendra Tasme</t>
  </si>
  <si>
    <t>Zora Shaikh</t>
  </si>
  <si>
    <t>Abdul Shaikh</t>
  </si>
  <si>
    <t>Sameer Vaje</t>
  </si>
  <si>
    <t>Vinod Pal</t>
  </si>
  <si>
    <t>Ravi Verman</t>
  </si>
  <si>
    <t>Kiran Bhor</t>
  </si>
  <si>
    <t>Batches Time Table</t>
  </si>
  <si>
    <t>TIME/TEACHER</t>
  </si>
  <si>
    <t>Asif Sir</t>
  </si>
  <si>
    <t>Vikrant Sir</t>
  </si>
  <si>
    <t>Rahul Sir</t>
  </si>
  <si>
    <t>Akshay Sir</t>
  </si>
  <si>
    <t>Tally</t>
  </si>
  <si>
    <t>Excel</t>
  </si>
  <si>
    <t>DTP</t>
  </si>
  <si>
    <t>Ms-Office</t>
  </si>
  <si>
    <t>Ms-office</t>
  </si>
  <si>
    <t>INDEX &amp; MATCH</t>
  </si>
  <si>
    <t>SELECT</t>
  </si>
  <si>
    <t>ROW</t>
  </si>
  <si>
    <t>COLUMN</t>
  </si>
  <si>
    <t>SL. NO</t>
  </si>
  <si>
    <t>NAME</t>
  </si>
  <si>
    <t>PAY DAYS</t>
  </si>
  <si>
    <t>BASIC</t>
  </si>
  <si>
    <t>DA</t>
  </si>
  <si>
    <t>TOTAL PAY</t>
  </si>
  <si>
    <t>PF</t>
  </si>
  <si>
    <t>ESI</t>
  </si>
  <si>
    <t>NET PAY</t>
  </si>
  <si>
    <t>AMIT MAHATA</t>
  </si>
  <si>
    <t>ASHIS MAHATA</t>
  </si>
  <si>
    <t>BARUN RAY</t>
  </si>
  <si>
    <t>BHADU DOLAI</t>
  </si>
  <si>
    <t>BHAKTIPADA DULE</t>
  </si>
  <si>
    <t>BHOLANATH DOLAI</t>
  </si>
  <si>
    <t>BIMAL HANSDA</t>
  </si>
  <si>
    <t>CHITTARANJAN MAHATA</t>
  </si>
  <si>
    <t>CHITTRANJAN GHOSH</t>
  </si>
  <si>
    <t>DIPAK ADHIKARY</t>
  </si>
  <si>
    <t>DIPAK MAHATA</t>
  </si>
  <si>
    <t>GANGA ROY</t>
  </si>
  <si>
    <t>GOUR MAHATA</t>
  </si>
  <si>
    <t>JADUNATH KARMAKAR</t>
  </si>
  <si>
    <t>JHANTU MAHATA (1)</t>
  </si>
  <si>
    <t>JHANTU MAHATA (2)</t>
  </si>
  <si>
    <t>JITEN MAHATO</t>
  </si>
  <si>
    <t>JITENDRA BHANDARI</t>
  </si>
  <si>
    <t>KARTICK MANDI</t>
  </si>
  <si>
    <t>KARTIK MAHATA</t>
  </si>
  <si>
    <t>LOOKUP</t>
  </si>
  <si>
    <t>SR NO</t>
  </si>
  <si>
    <t>Account No</t>
  </si>
  <si>
    <t>Amount</t>
  </si>
  <si>
    <t>AcctType</t>
  </si>
  <si>
    <t>Branch</t>
  </si>
  <si>
    <t>Customer</t>
  </si>
  <si>
    <t>IRA</t>
  </si>
  <si>
    <t>Central</t>
  </si>
  <si>
    <t>Existing</t>
  </si>
  <si>
    <t>CD</t>
  </si>
  <si>
    <t>New</t>
  </si>
  <si>
    <t>Checking</t>
  </si>
  <si>
    <t>Savings</t>
  </si>
  <si>
    <t>North County</t>
  </si>
  <si>
    <t>Westside</t>
  </si>
  <si>
    <t>Employee Code</t>
  </si>
  <si>
    <t>Designation</t>
  </si>
  <si>
    <t>Salary</t>
  </si>
  <si>
    <t>TCS 1</t>
  </si>
  <si>
    <t>MIS Executive</t>
  </si>
  <si>
    <t>TCS 2</t>
  </si>
  <si>
    <t>Consultant</t>
  </si>
  <si>
    <t>TCS 3</t>
  </si>
  <si>
    <t>Accounts Executive</t>
  </si>
  <si>
    <t>TCS 4</t>
  </si>
  <si>
    <t>TCS 5</t>
  </si>
  <si>
    <t>TCS 6</t>
  </si>
  <si>
    <t>TCS 7</t>
  </si>
  <si>
    <t>TCS 8</t>
  </si>
  <si>
    <t>TCS 9</t>
  </si>
  <si>
    <t>TCS 10</t>
  </si>
  <si>
    <t>TCS 11</t>
  </si>
  <si>
    <t>TCS 12</t>
  </si>
  <si>
    <t>Date</t>
  </si>
  <si>
    <t>Transction Type</t>
  </si>
  <si>
    <t>Debit/Credit</t>
  </si>
  <si>
    <t>Online</t>
  </si>
  <si>
    <t>Debit</t>
  </si>
  <si>
    <t>Cash</t>
  </si>
  <si>
    <t>Credit</t>
  </si>
  <si>
    <t>Debit Card</t>
  </si>
  <si>
    <t>EMP</t>
  </si>
  <si>
    <t>BASIC SALARY</t>
  </si>
  <si>
    <t>BONUS</t>
  </si>
  <si>
    <t>DESG</t>
  </si>
  <si>
    <t>OR</t>
  </si>
  <si>
    <t>SALARY</t>
  </si>
  <si>
    <t>MANAGER</t>
  </si>
  <si>
    <t>&gt;=20000</t>
  </si>
  <si>
    <t>SUPERVISOR</t>
  </si>
  <si>
    <t>PEON</t>
  </si>
  <si>
    <t>CLERK</t>
  </si>
  <si>
    <t>PMT</t>
  </si>
  <si>
    <t>PAYMENT TERMS</t>
  </si>
  <si>
    <t>MONTHS</t>
  </si>
  <si>
    <t>IPMT</t>
  </si>
  <si>
    <t>PPMT</t>
  </si>
  <si>
    <t>EMI</t>
  </si>
  <si>
    <t>PV</t>
  </si>
  <si>
    <t>FV</t>
  </si>
  <si>
    <t>GENERAL NAMES</t>
  </si>
  <si>
    <t>FORMULA ARGUMENTS</t>
  </si>
  <si>
    <t>LOAN AMOUNT</t>
  </si>
  <si>
    <t>PER ANNM</t>
  </si>
  <si>
    <t>INTEREST RATE</t>
  </si>
  <si>
    <t>%AGE</t>
  </si>
  <si>
    <t>RATE</t>
  </si>
  <si>
    <t>RUPEES</t>
  </si>
  <si>
    <t>P.V</t>
  </si>
  <si>
    <t>DURATION</t>
  </si>
  <si>
    <t>"N" NUMBER OF PERIOD</t>
  </si>
  <si>
    <t>PERIOD</t>
  </si>
  <si>
    <t>FUTURE VALUE</t>
  </si>
  <si>
    <t>AFTER 60 M</t>
  </si>
  <si>
    <t>TOTAL PAID</t>
  </si>
  <si>
    <t>TOTAL</t>
  </si>
  <si>
    <t>INTEREST</t>
  </si>
  <si>
    <t>MANNUAL CALCULATION</t>
  </si>
  <si>
    <t>Select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</si>
</sst>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[$-F400]h:mm:ss\ AM/PM"/>
    <numFmt numFmtId="165" formatCode="_(* #,##0.00_);_(* \(#,##0.00\);_(* &quot;-&quot;??_);_(@_)"/>
    <numFmt numFmtId="166" formatCode="_(* #,##0_);_(* \(#,##0\);_(* &quot;-&quot;??_);_(@_)"/>
    <numFmt numFmtId="167" formatCode="&quot;Rs.&quot;\ #,##0.00;[Red]&quot;Rs.&quot;\ \-#,##0.00"/>
    <numFmt numFmtId="168" formatCode="&quot;Rs.&quot;\ #,##0.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Impact"/>
      <family val="2"/>
    </font>
    <font>
      <sz val="10"/>
      <name val="Arial"/>
      <family val="2"/>
    </font>
    <font>
      <b/>
      <sz val="10"/>
      <color theme="0"/>
      <name val="Times New Roman"/>
      <family val="1"/>
    </font>
    <font>
      <sz val="10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Arial Black"/>
      <family val="2"/>
    </font>
    <font>
      <sz val="11"/>
      <color theme="1"/>
      <name val="Arial Black"/>
      <family val="2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39997558519241921"/>
        <bgColor theme="1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5" fontId="6" fillId="0" borderId="0" applyFont="0" applyFill="0" applyBorder="0" applyAlignment="0" applyProtection="0"/>
  </cellStyleXfs>
  <cellXfs count="4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18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2" borderId="4" xfId="0" applyFill="1" applyBorder="1" applyAlignment="1">
      <alignment horizontal="center"/>
    </xf>
    <xf numFmtId="164" fontId="0" fillId="0" borderId="0" xfId="0" applyNumberFormat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2" fontId="3" fillId="4" borderId="1" xfId="0" applyNumberFormat="1" applyFont="1" applyFill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2" fontId="4" fillId="0" borderId="1" xfId="0" applyNumberFormat="1" applyFont="1" applyBorder="1" applyAlignment="1">
      <alignment horizontal="right"/>
    </xf>
    <xf numFmtId="0" fontId="5" fillId="5" borderId="1" xfId="2" applyFont="1" applyFill="1" applyBorder="1" applyAlignment="1">
      <alignment horizontal="center" vertical="center"/>
    </xf>
    <xf numFmtId="166" fontId="5" fillId="5" borderId="1" xfId="3" applyNumberFormat="1" applyFont="1" applyFill="1" applyBorder="1" applyAlignment="1">
      <alignment horizontal="center" vertical="center"/>
    </xf>
    <xf numFmtId="1" fontId="1" fillId="0" borderId="1" xfId="2" applyNumberFormat="1" applyBorder="1" applyAlignment="1">
      <alignment horizontal="center"/>
    </xf>
    <xf numFmtId="166" fontId="0" fillId="0" borderId="1" xfId="3" applyNumberFormat="1" applyFont="1" applyBorder="1"/>
    <xf numFmtId="0" fontId="1" fillId="0" borderId="1" xfId="2" applyBorder="1"/>
    <xf numFmtId="0" fontId="7" fillId="4" borderId="1" xfId="0" applyFont="1" applyFill="1" applyBorder="1"/>
    <xf numFmtId="43" fontId="7" fillId="4" borderId="1" xfId="1" applyFont="1" applyFill="1" applyBorder="1"/>
    <xf numFmtId="43" fontId="8" fillId="0" borderId="1" xfId="1" applyFont="1" applyBorder="1"/>
    <xf numFmtId="0" fontId="0" fillId="6" borderId="1" xfId="0" applyFill="1" applyBorder="1"/>
    <xf numFmtId="14" fontId="0" fillId="0" borderId="1" xfId="0" applyNumberFormat="1" applyBorder="1"/>
    <xf numFmtId="0" fontId="0" fillId="7" borderId="1" xfId="0" applyFill="1" applyBorder="1"/>
    <xf numFmtId="0" fontId="0" fillId="6" borderId="2" xfId="0" applyFill="1" applyBorder="1"/>
    <xf numFmtId="0" fontId="0" fillId="6" borderId="5" xfId="0" applyFill="1" applyBorder="1"/>
    <xf numFmtId="0" fontId="0" fillId="8" borderId="1" xfId="0" applyFill="1" applyBorder="1"/>
    <xf numFmtId="0" fontId="11" fillId="4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0" fillId="0" borderId="0" xfId="0" applyFont="1"/>
    <xf numFmtId="2" fontId="0" fillId="0" borderId="1" xfId="0" applyNumberFormat="1" applyBorder="1"/>
    <xf numFmtId="0" fontId="0" fillId="0" borderId="6" xfId="0" applyBorder="1"/>
    <xf numFmtId="9" fontId="0" fillId="0" borderId="1" xfId="0" applyNumberFormat="1" applyBorder="1"/>
    <xf numFmtId="0" fontId="0" fillId="0" borderId="7" xfId="0" applyBorder="1"/>
    <xf numFmtId="2" fontId="10" fillId="0" borderId="1" xfId="0" applyNumberFormat="1" applyFont="1" applyBorder="1"/>
    <xf numFmtId="167" fontId="0" fillId="0" borderId="1" xfId="0" applyNumberFormat="1" applyBorder="1"/>
    <xf numFmtId="2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2" fillId="3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1" fillId="4" borderId="6" xfId="0" applyFont="1" applyFill="1" applyBorder="1" applyAlignment="1">
      <alignment horizontal="center"/>
    </xf>
    <xf numFmtId="0" fontId="11" fillId="4" borderId="7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9" fillId="4" borderId="0" xfId="0" applyFont="1" applyFill="1" applyAlignment="1">
      <alignment horizontal="center"/>
    </xf>
  </cellXfs>
  <cellStyles count="4">
    <cellStyle name="Comma" xfId="1" builtinId="3"/>
    <cellStyle name="Comma 2" xfId="3" xr:uid="{B8BA18CE-A1DE-4F6B-A6E8-F5CAE750141F}"/>
    <cellStyle name="Normal" xfId="0" builtinId="0"/>
    <cellStyle name="Normal 2" xfId="2" xr:uid="{EA405AC9-541F-4207-B2DE-BA795017BB1E}"/>
  </cellStyles>
  <dxfs count="3">
    <dxf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607391</xdr:colOff>
      <xdr:row>3</xdr:row>
      <xdr:rowOff>99392</xdr:rowOff>
    </xdr:from>
    <xdr:to>
      <xdr:col>7</xdr:col>
      <xdr:colOff>455544</xdr:colOff>
      <xdr:row>13</xdr:row>
      <xdr:rowOff>66261</xdr:rowOff>
    </xdr:to>
    <xdr:grpSp>
      <xdr:nvGrpSpPr>
        <xdr:cNvPr id="2" name="Group 1" hidden="1">
          <a:extLst>
            <a:ext uri="{FF2B5EF4-FFF2-40B4-BE49-F238E27FC236}">
              <a16:creationId xmlns:a16="http://schemas.microsoft.com/office/drawing/2014/main" id="{14B21FB0-C0B2-49D7-8D9E-9D505DD90711}"/>
            </a:ext>
          </a:extLst>
        </xdr:cNvPr>
        <xdr:cNvGrpSpPr/>
      </xdr:nvGrpSpPr>
      <xdr:grpSpPr>
        <a:xfrm>
          <a:off x="1350341" y="683592"/>
          <a:ext cx="5067853" cy="1808369"/>
          <a:chOff x="1794184" y="723444"/>
          <a:chExt cx="5151498" cy="1911283"/>
        </a:xfrm>
      </xdr:grpSpPr>
      <xdr:cxnSp macro="">
        <xdr:nvCxnSpPr>
          <xdr:cNvPr id="3" name="Straight Arrow Connector 2">
            <a:extLst>
              <a:ext uri="{FF2B5EF4-FFF2-40B4-BE49-F238E27FC236}">
                <a16:creationId xmlns:a16="http://schemas.microsoft.com/office/drawing/2014/main" id="{314285C1-42D9-0A1D-386A-9D9B67346F0A}"/>
              </a:ext>
            </a:extLst>
          </xdr:cNvPr>
          <xdr:cNvCxnSpPr/>
        </xdr:nvCxnSpPr>
        <xdr:spPr>
          <a:xfrm flipV="1">
            <a:off x="2583317" y="1291517"/>
            <a:ext cx="2387391" cy="16565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" name="Straight Arrow Connector 3">
            <a:extLst>
              <a:ext uri="{FF2B5EF4-FFF2-40B4-BE49-F238E27FC236}">
                <a16:creationId xmlns:a16="http://schemas.microsoft.com/office/drawing/2014/main" id="{83D321E3-722F-62B7-0AD5-E317E5A8BFB4}"/>
              </a:ext>
            </a:extLst>
          </xdr:cNvPr>
          <xdr:cNvCxnSpPr/>
        </xdr:nvCxnSpPr>
        <xdr:spPr>
          <a:xfrm>
            <a:off x="2568466" y="1707931"/>
            <a:ext cx="3225362" cy="580640"/>
          </a:xfrm>
          <a:prstGeom prst="bentConnector3">
            <a:avLst>
              <a:gd name="adj1" fmla="val 50000"/>
            </a:avLst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Straight Arrow Connector 9">
            <a:extLst>
              <a:ext uri="{FF2B5EF4-FFF2-40B4-BE49-F238E27FC236}">
                <a16:creationId xmlns:a16="http://schemas.microsoft.com/office/drawing/2014/main" id="{3BF5B007-9C8E-2A24-BF6D-809EB4007484}"/>
              </a:ext>
            </a:extLst>
          </xdr:cNvPr>
          <xdr:cNvCxnSpPr/>
        </xdr:nvCxnSpPr>
        <xdr:spPr>
          <a:xfrm>
            <a:off x="1794184" y="723444"/>
            <a:ext cx="4662252" cy="1911283"/>
          </a:xfrm>
          <a:prstGeom prst="bentConnector3">
            <a:avLst>
              <a:gd name="adj1" fmla="val -1571"/>
            </a:avLst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Straight Arrow Connector 5">
            <a:extLst>
              <a:ext uri="{FF2B5EF4-FFF2-40B4-BE49-F238E27FC236}">
                <a16:creationId xmlns:a16="http://schemas.microsoft.com/office/drawing/2014/main" id="{562C0348-ACAA-6814-7914-5A7E382F2018}"/>
              </a:ext>
            </a:extLst>
          </xdr:cNvPr>
          <xdr:cNvCxnSpPr/>
        </xdr:nvCxnSpPr>
        <xdr:spPr>
          <a:xfrm>
            <a:off x="6945681" y="2180897"/>
            <a:ext cx="1" cy="404134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E2" sqref="E2"/>
    </sheetView>
  </sheetViews>
  <sheetFormatPr defaultRowHeight="14.5" x14ac:dyDescent="0.35"/>
  <cols>
    <col min="1" max="1" width="6.81640625" bestFit="1" customWidth="1"/>
    <col min="2" max="2" width="14.453125" bestFit="1" customWidth="1"/>
    <col min="3" max="3" width="3.90625" bestFit="1" customWidth="1"/>
    <col min="4" max="4" width="9.90625" bestFit="1" customWidth="1"/>
    <col min="5" max="5" width="9.17968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35">
      <c r="A2" s="3">
        <v>1</v>
      </c>
      <c r="B2" s="3" t="s">
        <v>5</v>
      </c>
      <c r="C2" s="3">
        <v>29</v>
      </c>
      <c r="D2" s="3">
        <v>29</v>
      </c>
      <c r="E2">
        <f t="array" ref="E2:E10">FREQUENCY(C:C,D2:D10)</f>
        <v>3</v>
      </c>
    </row>
    <row r="3" spans="1:5" x14ac:dyDescent="0.35">
      <c r="A3" s="3">
        <v>2</v>
      </c>
      <c r="B3" s="3" t="s">
        <v>6</v>
      </c>
      <c r="C3" s="3">
        <v>20</v>
      </c>
      <c r="D3" s="3">
        <v>20</v>
      </c>
      <c r="E3">
        <v>4</v>
      </c>
    </row>
    <row r="4" spans="1:5" x14ac:dyDescent="0.35">
      <c r="A4" s="3">
        <v>3</v>
      </c>
      <c r="B4" s="3" t="s">
        <v>7</v>
      </c>
      <c r="C4" s="3">
        <v>33</v>
      </c>
      <c r="D4" s="3">
        <v>33</v>
      </c>
      <c r="E4">
        <v>2</v>
      </c>
    </row>
    <row r="5" spans="1:5" x14ac:dyDescent="0.35">
      <c r="A5" s="3">
        <v>4</v>
      </c>
      <c r="B5" s="3" t="s">
        <v>8</v>
      </c>
      <c r="C5" s="3">
        <v>20</v>
      </c>
      <c r="D5" s="3">
        <v>21</v>
      </c>
      <c r="E5">
        <v>2</v>
      </c>
    </row>
    <row r="6" spans="1:5" x14ac:dyDescent="0.35">
      <c r="A6" s="3">
        <v>5</v>
      </c>
      <c r="B6" s="3" t="s">
        <v>9</v>
      </c>
      <c r="C6" s="3">
        <v>29</v>
      </c>
      <c r="D6" s="3">
        <v>34</v>
      </c>
      <c r="E6">
        <v>1</v>
      </c>
    </row>
    <row r="7" spans="1:5" x14ac:dyDescent="0.35">
      <c r="A7" s="3">
        <v>6</v>
      </c>
      <c r="B7" s="3" t="s">
        <v>10</v>
      </c>
      <c r="C7" s="3">
        <v>33</v>
      </c>
      <c r="D7" s="3">
        <v>28</v>
      </c>
      <c r="E7">
        <v>2</v>
      </c>
    </row>
    <row r="8" spans="1:5" x14ac:dyDescent="0.35">
      <c r="A8" s="3">
        <v>7</v>
      </c>
      <c r="B8" s="3" t="s">
        <v>11</v>
      </c>
      <c r="C8" s="3">
        <v>21</v>
      </c>
      <c r="D8" s="3">
        <v>27</v>
      </c>
      <c r="E8">
        <v>3</v>
      </c>
    </row>
    <row r="9" spans="1:5" x14ac:dyDescent="0.35">
      <c r="A9" s="3">
        <v>8</v>
      </c>
      <c r="B9" s="3" t="s">
        <v>12</v>
      </c>
      <c r="C9" s="3">
        <v>29</v>
      </c>
      <c r="D9" s="3">
        <v>22</v>
      </c>
      <c r="E9">
        <v>1</v>
      </c>
    </row>
    <row r="10" spans="1:5" x14ac:dyDescent="0.35">
      <c r="A10" s="3">
        <v>9</v>
      </c>
      <c r="B10" s="3" t="s">
        <v>13</v>
      </c>
      <c r="C10" s="3">
        <v>34</v>
      </c>
      <c r="D10" s="3">
        <v>23</v>
      </c>
      <c r="E10">
        <v>2</v>
      </c>
    </row>
    <row r="11" spans="1:5" x14ac:dyDescent="0.35">
      <c r="A11" s="3">
        <v>10</v>
      </c>
      <c r="B11" s="3" t="s">
        <v>14</v>
      </c>
      <c r="C11" s="3">
        <v>28</v>
      </c>
    </row>
    <row r="12" spans="1:5" x14ac:dyDescent="0.35">
      <c r="A12" s="3">
        <v>11</v>
      </c>
      <c r="B12" s="3" t="s">
        <v>15</v>
      </c>
      <c r="C12" s="3">
        <v>20</v>
      </c>
    </row>
    <row r="13" spans="1:5" x14ac:dyDescent="0.35">
      <c r="A13" s="3">
        <v>12</v>
      </c>
      <c r="B13" s="3" t="s">
        <v>16</v>
      </c>
      <c r="C13" s="3">
        <v>27</v>
      </c>
    </row>
    <row r="14" spans="1:5" x14ac:dyDescent="0.35">
      <c r="A14" s="3">
        <v>13</v>
      </c>
      <c r="B14" s="3" t="s">
        <v>17</v>
      </c>
      <c r="C14" s="3">
        <v>21</v>
      </c>
    </row>
    <row r="15" spans="1:5" x14ac:dyDescent="0.35">
      <c r="A15" s="3">
        <v>14</v>
      </c>
      <c r="B15" s="3" t="s">
        <v>18</v>
      </c>
      <c r="C15" s="3">
        <v>28</v>
      </c>
    </row>
    <row r="16" spans="1:5" x14ac:dyDescent="0.35">
      <c r="A16" s="3">
        <v>15</v>
      </c>
      <c r="B16" s="3" t="s">
        <v>19</v>
      </c>
      <c r="C16" s="3">
        <v>27</v>
      </c>
    </row>
    <row r="17" spans="1:3" x14ac:dyDescent="0.35">
      <c r="A17" s="3">
        <v>16</v>
      </c>
      <c r="B17" s="3" t="s">
        <v>20</v>
      </c>
      <c r="C17" s="3">
        <v>20</v>
      </c>
    </row>
    <row r="18" spans="1:3" x14ac:dyDescent="0.35">
      <c r="A18" s="3">
        <v>17</v>
      </c>
      <c r="B18" s="3" t="s">
        <v>21</v>
      </c>
      <c r="C18" s="3">
        <v>22</v>
      </c>
    </row>
    <row r="19" spans="1:3" x14ac:dyDescent="0.35">
      <c r="A19" s="3">
        <v>18</v>
      </c>
      <c r="B19" s="3" t="s">
        <v>22</v>
      </c>
      <c r="C19" s="3">
        <v>23</v>
      </c>
    </row>
    <row r="20" spans="1:3" x14ac:dyDescent="0.35">
      <c r="A20" s="3">
        <v>19</v>
      </c>
      <c r="B20" s="3" t="s">
        <v>23</v>
      </c>
      <c r="C20" s="3">
        <v>27</v>
      </c>
    </row>
    <row r="21" spans="1:3" x14ac:dyDescent="0.35">
      <c r="A21" s="3">
        <v>20</v>
      </c>
      <c r="B21" s="3" t="s">
        <v>24</v>
      </c>
      <c r="C21" s="3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51FB6-3EB1-4D56-A6AB-999200230E4D}">
  <dimension ref="A1:N21"/>
  <sheetViews>
    <sheetView workbookViewId="0">
      <selection activeCell="M6" sqref="M6"/>
    </sheetView>
  </sheetViews>
  <sheetFormatPr defaultRowHeight="14.5" x14ac:dyDescent="0.35"/>
  <cols>
    <col min="1" max="1" width="7.81640625" bestFit="1" customWidth="1"/>
    <col min="2" max="2" width="27.1796875" bestFit="1" customWidth="1"/>
    <col min="3" max="3" width="11" bestFit="1" customWidth="1"/>
    <col min="4" max="4" width="9.26953125" bestFit="1" customWidth="1"/>
    <col min="5" max="5" width="15.08984375" bestFit="1" customWidth="1"/>
    <col min="6" max="6" width="12.36328125" bestFit="1" customWidth="1"/>
    <col min="7" max="7" width="4.81640625" bestFit="1" customWidth="1"/>
    <col min="8" max="8" width="4.08984375" bestFit="1" customWidth="1"/>
    <col min="9" max="9" width="9.7265625" bestFit="1" customWidth="1"/>
    <col min="13" max="13" width="13.453125" customWidth="1"/>
  </cols>
  <sheetData>
    <row r="1" spans="1:14" ht="18.5" x14ac:dyDescent="0.45">
      <c r="A1" s="8" t="s">
        <v>40</v>
      </c>
      <c r="B1" s="8" t="s">
        <v>41</v>
      </c>
      <c r="C1" s="8" t="s">
        <v>42</v>
      </c>
      <c r="D1" s="9" t="s">
        <v>43</v>
      </c>
      <c r="E1" s="8" t="s">
        <v>44</v>
      </c>
      <c r="F1" s="8" t="s">
        <v>45</v>
      </c>
      <c r="G1" s="8" t="s">
        <v>46</v>
      </c>
      <c r="H1" s="8" t="s">
        <v>47</v>
      </c>
      <c r="I1" s="8" t="s">
        <v>48</v>
      </c>
      <c r="M1" s="8" t="s">
        <v>69</v>
      </c>
      <c r="N1" s="8" t="s">
        <v>70</v>
      </c>
    </row>
    <row r="2" spans="1:14" ht="18.5" x14ac:dyDescent="0.45">
      <c r="A2" s="10">
        <v>1</v>
      </c>
      <c r="B2" s="10" t="s">
        <v>49</v>
      </c>
      <c r="C2" s="11">
        <v>26</v>
      </c>
      <c r="D2" s="12">
        <v>2370</v>
      </c>
      <c r="E2" s="11">
        <v>2290</v>
      </c>
      <c r="F2" s="11">
        <v>7150</v>
      </c>
      <c r="G2" s="11">
        <v>559</v>
      </c>
      <c r="H2" s="11">
        <v>72</v>
      </c>
      <c r="I2" s="11">
        <v>6519</v>
      </c>
      <c r="M2" t="s">
        <v>60</v>
      </c>
      <c r="N2">
        <f>LOOKUP(M2,B1:B21,A1:A21)</f>
        <v>12</v>
      </c>
    </row>
    <row r="3" spans="1:14" ht="18.5" x14ac:dyDescent="0.45">
      <c r="A3" s="10">
        <v>2</v>
      </c>
      <c r="B3" s="10" t="s">
        <v>50</v>
      </c>
      <c r="C3" s="11">
        <v>15</v>
      </c>
      <c r="D3" s="12">
        <v>1315.3846153846155</v>
      </c>
      <c r="E3" s="11">
        <v>1275</v>
      </c>
      <c r="F3" s="11">
        <v>3975</v>
      </c>
      <c r="G3" s="11">
        <v>311</v>
      </c>
      <c r="H3" s="11">
        <v>40</v>
      </c>
      <c r="I3" s="11">
        <v>3624</v>
      </c>
    </row>
    <row r="4" spans="1:14" ht="18.5" x14ac:dyDescent="0.45">
      <c r="A4" s="10">
        <v>3</v>
      </c>
      <c r="B4" s="10" t="s">
        <v>51</v>
      </c>
      <c r="C4" s="11">
        <v>26</v>
      </c>
      <c r="D4" s="12">
        <v>2370</v>
      </c>
      <c r="E4" s="11">
        <v>2290</v>
      </c>
      <c r="F4" s="11">
        <v>7150</v>
      </c>
      <c r="G4" s="11">
        <v>559</v>
      </c>
      <c r="H4" s="11">
        <v>72</v>
      </c>
      <c r="I4" s="11">
        <v>6519</v>
      </c>
    </row>
    <row r="5" spans="1:14" ht="18.5" x14ac:dyDescent="0.45">
      <c r="A5" s="10">
        <v>4</v>
      </c>
      <c r="B5" s="10" t="s">
        <v>52</v>
      </c>
      <c r="C5" s="11">
        <v>26</v>
      </c>
      <c r="D5" s="12">
        <v>2370</v>
      </c>
      <c r="E5" s="11">
        <v>2290</v>
      </c>
      <c r="F5" s="11">
        <v>7150</v>
      </c>
      <c r="G5" s="11">
        <v>559</v>
      </c>
      <c r="H5" s="11">
        <v>72</v>
      </c>
      <c r="I5" s="11">
        <v>6519</v>
      </c>
    </row>
    <row r="6" spans="1:14" ht="18.5" x14ac:dyDescent="0.45">
      <c r="A6" s="10">
        <v>5</v>
      </c>
      <c r="B6" s="10" t="s">
        <v>53</v>
      </c>
      <c r="C6" s="11">
        <v>3</v>
      </c>
      <c r="D6" s="12">
        <v>273.46153846153845</v>
      </c>
      <c r="E6" s="11">
        <v>264.23076923076923</v>
      </c>
      <c r="F6" s="11">
        <v>825</v>
      </c>
      <c r="G6" s="11">
        <v>65</v>
      </c>
      <c r="H6" s="11">
        <v>8</v>
      </c>
      <c r="I6" s="11">
        <v>752</v>
      </c>
    </row>
    <row r="7" spans="1:14" ht="18.5" x14ac:dyDescent="0.45">
      <c r="A7" s="10">
        <v>6</v>
      </c>
      <c r="B7" s="10" t="s">
        <v>54</v>
      </c>
      <c r="C7" s="11">
        <v>2</v>
      </c>
      <c r="D7" s="12">
        <v>182.30769230769232</v>
      </c>
      <c r="E7" s="11">
        <v>176.15384615384616</v>
      </c>
      <c r="F7" s="11">
        <v>550</v>
      </c>
      <c r="G7" s="11">
        <v>43</v>
      </c>
      <c r="H7" s="11">
        <v>6</v>
      </c>
      <c r="I7" s="11">
        <v>501</v>
      </c>
    </row>
    <row r="8" spans="1:14" ht="18.5" x14ac:dyDescent="0.45">
      <c r="A8" s="10">
        <v>7</v>
      </c>
      <c r="B8" s="10" t="s">
        <v>55</v>
      </c>
      <c r="C8" s="11">
        <v>22</v>
      </c>
      <c r="D8" s="12">
        <v>2005.3846153846155</v>
      </c>
      <c r="E8" s="11">
        <v>1937.6923076923078</v>
      </c>
      <c r="F8" s="11">
        <v>6050</v>
      </c>
      <c r="G8" s="11">
        <v>473</v>
      </c>
      <c r="H8" s="11">
        <v>61</v>
      </c>
      <c r="I8" s="11">
        <v>5516</v>
      </c>
    </row>
    <row r="9" spans="1:14" ht="18.5" x14ac:dyDescent="0.45">
      <c r="A9" s="10">
        <v>8</v>
      </c>
      <c r="B9" s="10" t="s">
        <v>56</v>
      </c>
      <c r="C9" s="11">
        <v>22</v>
      </c>
      <c r="D9" s="12">
        <v>2005.3846153846155</v>
      </c>
      <c r="E9" s="11">
        <v>1937.6923076923078</v>
      </c>
      <c r="F9" s="11">
        <v>6050</v>
      </c>
      <c r="G9" s="11">
        <v>473</v>
      </c>
      <c r="H9" s="11">
        <v>61</v>
      </c>
      <c r="I9" s="11">
        <v>5516</v>
      </c>
    </row>
    <row r="10" spans="1:14" ht="18.5" x14ac:dyDescent="0.45">
      <c r="A10" s="10">
        <v>9</v>
      </c>
      <c r="B10" s="10" t="s">
        <v>57</v>
      </c>
      <c r="C10" s="11">
        <v>26</v>
      </c>
      <c r="D10" s="12">
        <v>2370</v>
      </c>
      <c r="E10" s="11">
        <v>2290</v>
      </c>
      <c r="F10" s="11">
        <v>7150</v>
      </c>
      <c r="G10" s="11">
        <v>559</v>
      </c>
      <c r="H10" s="11">
        <v>72</v>
      </c>
      <c r="I10" s="11">
        <v>6519</v>
      </c>
    </row>
    <row r="11" spans="1:14" ht="18.5" x14ac:dyDescent="0.45">
      <c r="A11" s="10">
        <v>10</v>
      </c>
      <c r="B11" s="10" t="s">
        <v>58</v>
      </c>
      <c r="C11" s="11">
        <v>26</v>
      </c>
      <c r="D11" s="12">
        <v>2370</v>
      </c>
      <c r="E11" s="11">
        <v>2290</v>
      </c>
      <c r="F11" s="11">
        <v>7150</v>
      </c>
      <c r="G11" s="11">
        <v>559</v>
      </c>
      <c r="H11" s="11">
        <v>72</v>
      </c>
      <c r="I11" s="11">
        <v>6519</v>
      </c>
    </row>
    <row r="12" spans="1:14" ht="18.5" x14ac:dyDescent="0.45">
      <c r="A12" s="10">
        <v>11</v>
      </c>
      <c r="B12" s="10" t="s">
        <v>59</v>
      </c>
      <c r="C12" s="11">
        <v>26</v>
      </c>
      <c r="D12" s="12">
        <v>2370</v>
      </c>
      <c r="E12" s="11">
        <v>2290</v>
      </c>
      <c r="F12" s="11">
        <v>7150</v>
      </c>
      <c r="G12" s="11">
        <v>559</v>
      </c>
      <c r="H12" s="11">
        <v>72</v>
      </c>
      <c r="I12" s="11">
        <v>6519</v>
      </c>
    </row>
    <row r="13" spans="1:14" ht="18.5" x14ac:dyDescent="0.45">
      <c r="A13" s="10">
        <v>12</v>
      </c>
      <c r="B13" s="10" t="s">
        <v>60</v>
      </c>
      <c r="C13" s="11">
        <v>24</v>
      </c>
      <c r="D13" s="12">
        <v>2104.6153846153848</v>
      </c>
      <c r="E13" s="11">
        <v>2040</v>
      </c>
      <c r="F13" s="11">
        <v>6360</v>
      </c>
      <c r="G13" s="11">
        <v>497</v>
      </c>
      <c r="H13" s="11">
        <v>64</v>
      </c>
      <c r="I13" s="11">
        <v>5799</v>
      </c>
    </row>
    <row r="14" spans="1:14" ht="18.5" x14ac:dyDescent="0.45">
      <c r="A14" s="10">
        <v>13</v>
      </c>
      <c r="B14" s="10" t="s">
        <v>61</v>
      </c>
      <c r="C14" s="11">
        <v>26</v>
      </c>
      <c r="D14" s="12">
        <v>2370</v>
      </c>
      <c r="E14" s="11">
        <v>2290</v>
      </c>
      <c r="F14" s="11">
        <v>7150</v>
      </c>
      <c r="G14" s="11">
        <v>559</v>
      </c>
      <c r="H14" s="11">
        <v>72</v>
      </c>
      <c r="I14" s="11">
        <v>6519</v>
      </c>
    </row>
    <row r="15" spans="1:14" ht="18.5" x14ac:dyDescent="0.45">
      <c r="A15" s="10">
        <v>14</v>
      </c>
      <c r="B15" s="10" t="s">
        <v>62</v>
      </c>
      <c r="C15" s="11">
        <v>25</v>
      </c>
      <c r="D15" s="12">
        <v>2278.8461538461538</v>
      </c>
      <c r="E15" s="11">
        <v>2201.9230769230771</v>
      </c>
      <c r="F15" s="11">
        <v>6875</v>
      </c>
      <c r="G15" s="11">
        <v>538</v>
      </c>
      <c r="H15" s="11">
        <v>69</v>
      </c>
      <c r="I15" s="11">
        <v>6268</v>
      </c>
    </row>
    <row r="16" spans="1:14" ht="18.5" x14ac:dyDescent="0.45">
      <c r="A16" s="10">
        <v>15</v>
      </c>
      <c r="B16" s="10" t="s">
        <v>63</v>
      </c>
      <c r="C16" s="11">
        <v>17</v>
      </c>
      <c r="D16" s="12">
        <v>1549.6153846153848</v>
      </c>
      <c r="E16" s="11">
        <v>1497.3076923076924</v>
      </c>
      <c r="F16" s="11">
        <v>4675</v>
      </c>
      <c r="G16" s="11">
        <v>366</v>
      </c>
      <c r="H16" s="11">
        <v>47</v>
      </c>
      <c r="I16" s="11">
        <v>4262</v>
      </c>
    </row>
    <row r="17" spans="1:9" ht="18.5" x14ac:dyDescent="0.45">
      <c r="A17" s="10">
        <v>16</v>
      </c>
      <c r="B17" s="10" t="s">
        <v>64</v>
      </c>
      <c r="C17" s="11">
        <v>17</v>
      </c>
      <c r="D17" s="12">
        <v>1549.6153846153848</v>
      </c>
      <c r="E17" s="11">
        <v>1497.3076923076924</v>
      </c>
      <c r="F17" s="11">
        <v>4675</v>
      </c>
      <c r="G17" s="11">
        <v>366</v>
      </c>
      <c r="H17" s="11">
        <v>47</v>
      </c>
      <c r="I17" s="11">
        <v>4262</v>
      </c>
    </row>
    <row r="18" spans="1:9" ht="18.5" x14ac:dyDescent="0.45">
      <c r="A18" s="10">
        <v>17</v>
      </c>
      <c r="B18" s="10" t="s">
        <v>65</v>
      </c>
      <c r="C18" s="11">
        <v>3</v>
      </c>
      <c r="D18" s="12">
        <v>263.07692307692309</v>
      </c>
      <c r="E18" s="11">
        <v>255</v>
      </c>
      <c r="F18" s="11">
        <v>795</v>
      </c>
      <c r="G18" s="11">
        <v>62</v>
      </c>
      <c r="H18" s="11">
        <v>8</v>
      </c>
      <c r="I18" s="11">
        <v>725</v>
      </c>
    </row>
    <row r="19" spans="1:9" ht="18.5" x14ac:dyDescent="0.45">
      <c r="A19" s="10">
        <v>18</v>
      </c>
      <c r="B19" s="10" t="s">
        <v>66</v>
      </c>
      <c r="C19" s="11">
        <v>19</v>
      </c>
      <c r="D19" s="12">
        <v>1731.9230769230771</v>
      </c>
      <c r="E19" s="11">
        <v>1673.4615384615386</v>
      </c>
      <c r="F19" s="11">
        <v>5225</v>
      </c>
      <c r="G19" s="11">
        <v>409</v>
      </c>
      <c r="H19" s="11">
        <v>52</v>
      </c>
      <c r="I19" s="11">
        <v>4764</v>
      </c>
    </row>
    <row r="20" spans="1:9" ht="18.5" x14ac:dyDescent="0.45">
      <c r="A20" s="10">
        <v>19</v>
      </c>
      <c r="B20" s="10" t="s">
        <v>67</v>
      </c>
      <c r="C20" s="11">
        <v>26</v>
      </c>
      <c r="D20" s="12">
        <v>2370</v>
      </c>
      <c r="E20" s="11">
        <v>2290</v>
      </c>
      <c r="F20" s="11">
        <v>7150</v>
      </c>
      <c r="G20" s="11">
        <v>559</v>
      </c>
      <c r="H20" s="11">
        <v>72</v>
      </c>
      <c r="I20" s="11">
        <v>6519</v>
      </c>
    </row>
    <row r="21" spans="1:9" ht="18.5" x14ac:dyDescent="0.45">
      <c r="A21" s="10">
        <v>20</v>
      </c>
      <c r="B21" s="10" t="s">
        <v>68</v>
      </c>
      <c r="C21" s="11">
        <v>5</v>
      </c>
      <c r="D21" s="12">
        <v>455.76923076923083</v>
      </c>
      <c r="E21" s="11">
        <v>440.38461538461542</v>
      </c>
      <c r="F21" s="11">
        <v>1375</v>
      </c>
      <c r="G21" s="11">
        <v>108</v>
      </c>
      <c r="H21" s="11">
        <v>14</v>
      </c>
      <c r="I21" s="11">
        <v>1253</v>
      </c>
    </row>
  </sheetData>
  <dataValidations count="1">
    <dataValidation type="list" allowBlank="1" showInputMessage="1" showErrorMessage="1" sqref="M2" xr:uid="{69527278-7B4E-44FF-A67A-6D43F47B26A8}">
      <formula1>$B:$B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81953-54A2-4D4C-B7DC-C0C70FC8B085}">
  <dimension ref="A1:J18"/>
  <sheetViews>
    <sheetView workbookViewId="0">
      <selection activeCell="G13" sqref="G13"/>
    </sheetView>
  </sheetViews>
  <sheetFormatPr defaultRowHeight="14.5" x14ac:dyDescent="0.35"/>
  <cols>
    <col min="1" max="1" width="10.08984375" bestFit="1" customWidth="1"/>
    <col min="2" max="2" width="8.453125" bestFit="1" customWidth="1"/>
    <col min="3" max="3" width="8.26953125" bestFit="1" customWidth="1"/>
    <col min="4" max="4" width="12" bestFit="1" customWidth="1"/>
    <col min="5" max="5" width="8.81640625" bestFit="1" customWidth="1"/>
    <col min="9" max="9" width="10.08984375" bestFit="1" customWidth="1"/>
    <col min="10" max="10" width="12" bestFit="1" customWidth="1"/>
  </cols>
  <sheetData>
    <row r="1" spans="1:10" x14ac:dyDescent="0.35">
      <c r="A1" s="13" t="s">
        <v>71</v>
      </c>
      <c r="B1" s="14" t="s">
        <v>72</v>
      </c>
      <c r="C1" s="13" t="s">
        <v>73</v>
      </c>
      <c r="D1" s="13" t="s">
        <v>74</v>
      </c>
      <c r="E1" s="13" t="s">
        <v>75</v>
      </c>
      <c r="I1" s="13" t="s">
        <v>71</v>
      </c>
      <c r="J1">
        <v>5600012</v>
      </c>
    </row>
    <row r="2" spans="1:10" x14ac:dyDescent="0.35">
      <c r="A2" s="15">
        <v>5600001</v>
      </c>
      <c r="B2" s="16">
        <v>5000</v>
      </c>
      <c r="C2" s="17" t="s">
        <v>76</v>
      </c>
      <c r="D2" s="17" t="s">
        <v>77</v>
      </c>
      <c r="E2" s="17" t="s">
        <v>78</v>
      </c>
      <c r="I2" s="14" t="s">
        <v>72</v>
      </c>
      <c r="J2">
        <f>VLOOKUP($J$1,LIST1,ROW(),FALSE)</f>
        <v>6837</v>
      </c>
    </row>
    <row r="3" spans="1:10" x14ac:dyDescent="0.35">
      <c r="A3" s="15">
        <v>5600002</v>
      </c>
      <c r="B3" s="16">
        <v>14571</v>
      </c>
      <c r="C3" s="17" t="s">
        <v>79</v>
      </c>
      <c r="D3" s="17" t="s">
        <v>77</v>
      </c>
      <c r="E3" s="17" t="s">
        <v>80</v>
      </c>
      <c r="I3" s="13" t="s">
        <v>73</v>
      </c>
      <c r="J3" t="str">
        <f>VLOOKUP($J$1,LIST1,ROW(),FALSE)</f>
        <v>Savings</v>
      </c>
    </row>
    <row r="4" spans="1:10" x14ac:dyDescent="0.35">
      <c r="A4" s="15">
        <v>5600003</v>
      </c>
      <c r="B4" s="16">
        <v>500</v>
      </c>
      <c r="C4" s="17" t="s">
        <v>81</v>
      </c>
      <c r="D4" s="17" t="s">
        <v>77</v>
      </c>
      <c r="E4" s="17" t="s">
        <v>78</v>
      </c>
      <c r="I4" s="13" t="s">
        <v>74</v>
      </c>
      <c r="J4" t="str">
        <f>VLOOKUP($J$1,LIST1,ROW(),FALSE)</f>
        <v>Westside</v>
      </c>
    </row>
    <row r="5" spans="1:10" x14ac:dyDescent="0.35">
      <c r="A5" s="15">
        <v>5600004</v>
      </c>
      <c r="B5" s="16">
        <v>15000</v>
      </c>
      <c r="C5" s="17" t="s">
        <v>79</v>
      </c>
      <c r="D5" s="17" t="s">
        <v>77</v>
      </c>
      <c r="E5" s="17" t="s">
        <v>78</v>
      </c>
      <c r="I5" s="13" t="s">
        <v>75</v>
      </c>
      <c r="J5" t="str">
        <f>VLOOKUP($J$1,LIST1,ROW(),FALSE)</f>
        <v>Existing</v>
      </c>
    </row>
    <row r="6" spans="1:10" x14ac:dyDescent="0.35">
      <c r="A6" s="15">
        <v>5600005</v>
      </c>
      <c r="B6" s="16">
        <v>4623</v>
      </c>
      <c r="C6" s="17" t="s">
        <v>82</v>
      </c>
      <c r="D6" s="17" t="s">
        <v>83</v>
      </c>
      <c r="E6" s="17" t="s">
        <v>78</v>
      </c>
    </row>
    <row r="7" spans="1:10" x14ac:dyDescent="0.35">
      <c r="A7" s="15">
        <v>5600006</v>
      </c>
      <c r="B7" s="16">
        <v>8721</v>
      </c>
      <c r="C7" s="17" t="s">
        <v>82</v>
      </c>
      <c r="D7" s="17" t="s">
        <v>84</v>
      </c>
      <c r="E7" s="17" t="s">
        <v>80</v>
      </c>
    </row>
    <row r="8" spans="1:10" x14ac:dyDescent="0.35">
      <c r="A8" s="15">
        <v>5600007</v>
      </c>
      <c r="B8" s="16">
        <v>15276</v>
      </c>
      <c r="C8" s="17" t="s">
        <v>82</v>
      </c>
      <c r="D8" s="17" t="s">
        <v>83</v>
      </c>
      <c r="E8" s="17" t="s">
        <v>78</v>
      </c>
    </row>
    <row r="9" spans="1:10" x14ac:dyDescent="0.35">
      <c r="A9" s="15">
        <v>5600008</v>
      </c>
      <c r="B9" s="16">
        <v>5000</v>
      </c>
      <c r="C9" s="17" t="s">
        <v>82</v>
      </c>
      <c r="D9" s="17" t="s">
        <v>84</v>
      </c>
      <c r="E9" s="17" t="s">
        <v>78</v>
      </c>
    </row>
    <row r="10" spans="1:10" x14ac:dyDescent="0.35">
      <c r="A10" s="15">
        <v>5600009</v>
      </c>
      <c r="B10" s="16">
        <v>15759</v>
      </c>
      <c r="C10" s="17" t="s">
        <v>79</v>
      </c>
      <c r="D10" s="17" t="s">
        <v>84</v>
      </c>
      <c r="E10" s="17" t="s">
        <v>78</v>
      </c>
    </row>
    <row r="11" spans="1:10" x14ac:dyDescent="0.35">
      <c r="A11" s="15">
        <v>5600010</v>
      </c>
      <c r="B11" s="16">
        <v>12000</v>
      </c>
      <c r="C11" s="17" t="s">
        <v>79</v>
      </c>
      <c r="D11" s="17" t="s">
        <v>84</v>
      </c>
      <c r="E11" s="17" t="s">
        <v>78</v>
      </c>
    </row>
    <row r="12" spans="1:10" x14ac:dyDescent="0.35">
      <c r="A12" s="15">
        <v>5600011</v>
      </c>
      <c r="B12" s="16">
        <v>7177</v>
      </c>
      <c r="C12" s="17" t="s">
        <v>82</v>
      </c>
      <c r="D12" s="17" t="s">
        <v>83</v>
      </c>
      <c r="E12" s="17" t="s">
        <v>78</v>
      </c>
    </row>
    <row r="13" spans="1:10" x14ac:dyDescent="0.35">
      <c r="A13" s="15">
        <v>5600012</v>
      </c>
      <c r="B13" s="16">
        <v>6837</v>
      </c>
      <c r="C13" s="17" t="s">
        <v>82</v>
      </c>
      <c r="D13" s="17" t="s">
        <v>84</v>
      </c>
      <c r="E13" s="17" t="s">
        <v>78</v>
      </c>
    </row>
    <row r="14" spans="1:10" x14ac:dyDescent="0.35">
      <c r="A14" s="15">
        <v>5600013</v>
      </c>
      <c r="B14" s="16">
        <v>3171</v>
      </c>
      <c r="C14" s="17" t="s">
        <v>81</v>
      </c>
      <c r="D14" s="17" t="s">
        <v>84</v>
      </c>
      <c r="E14" s="17" t="s">
        <v>78</v>
      </c>
    </row>
    <row r="15" spans="1:10" x14ac:dyDescent="0.35">
      <c r="A15" s="15">
        <v>5600014</v>
      </c>
      <c r="B15" s="16">
        <v>50000</v>
      </c>
      <c r="C15" s="17" t="s">
        <v>82</v>
      </c>
      <c r="D15" s="17" t="s">
        <v>77</v>
      </c>
      <c r="E15" s="17" t="s">
        <v>78</v>
      </c>
    </row>
    <row r="16" spans="1:10" x14ac:dyDescent="0.35">
      <c r="A16" s="15">
        <v>5600015</v>
      </c>
      <c r="B16" s="16">
        <v>4690</v>
      </c>
      <c r="C16" s="17" t="s">
        <v>81</v>
      </c>
      <c r="D16" s="17" t="s">
        <v>83</v>
      </c>
      <c r="E16" s="17" t="s">
        <v>80</v>
      </c>
    </row>
    <row r="17" spans="1:5" x14ac:dyDescent="0.35">
      <c r="A17" s="15">
        <v>5600016</v>
      </c>
      <c r="B17" s="16">
        <v>12438</v>
      </c>
      <c r="C17" s="17" t="s">
        <v>81</v>
      </c>
      <c r="D17" s="17" t="s">
        <v>77</v>
      </c>
      <c r="E17" s="17" t="s">
        <v>78</v>
      </c>
    </row>
    <row r="18" spans="1:5" x14ac:dyDescent="0.35">
      <c r="A18" s="15">
        <v>5600017</v>
      </c>
      <c r="B18" s="16">
        <v>5000</v>
      </c>
      <c r="C18" s="17" t="s">
        <v>81</v>
      </c>
      <c r="D18" s="17" t="s">
        <v>83</v>
      </c>
      <c r="E18" s="17" t="s">
        <v>78</v>
      </c>
    </row>
  </sheetData>
  <dataValidations count="1">
    <dataValidation type="list" allowBlank="1" showInputMessage="1" showErrorMessage="1" sqref="J1" xr:uid="{E4914254-D51F-4363-B66D-CD6B07D16787}">
      <formula1>$A$2:$A$18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D6E8C-2878-4AB5-9131-FED5EF41C193}">
  <dimension ref="A1:R11"/>
  <sheetViews>
    <sheetView workbookViewId="0">
      <selection activeCell="D11" sqref="D11"/>
    </sheetView>
  </sheetViews>
  <sheetFormatPr defaultRowHeight="14.5" x14ac:dyDescent="0.35"/>
  <cols>
    <col min="4" max="4" width="10.08984375" bestFit="1" customWidth="1"/>
  </cols>
  <sheetData>
    <row r="1" spans="1:18" x14ac:dyDescent="0.35">
      <c r="A1" s="13" t="s">
        <v>71</v>
      </c>
      <c r="B1" s="15">
        <v>5600001</v>
      </c>
      <c r="C1" s="15">
        <v>5600002</v>
      </c>
      <c r="D1" s="15">
        <v>5600003</v>
      </c>
      <c r="E1" s="15">
        <v>5600004</v>
      </c>
      <c r="F1" s="15">
        <v>5600005</v>
      </c>
      <c r="G1" s="15">
        <v>5600006</v>
      </c>
      <c r="H1" s="15">
        <v>5600007</v>
      </c>
      <c r="I1" s="15">
        <v>5600008</v>
      </c>
      <c r="J1" s="15">
        <v>5600009</v>
      </c>
      <c r="K1" s="15">
        <v>5600010</v>
      </c>
      <c r="L1" s="15">
        <v>5600011</v>
      </c>
      <c r="M1" s="15">
        <v>5600012</v>
      </c>
      <c r="N1" s="15">
        <v>5600013</v>
      </c>
      <c r="O1" s="15">
        <v>5600014</v>
      </c>
      <c r="P1" s="15">
        <v>5600015</v>
      </c>
      <c r="Q1" s="15">
        <v>5600016</v>
      </c>
      <c r="R1" s="15">
        <v>5600017</v>
      </c>
    </row>
    <row r="2" spans="1:18" x14ac:dyDescent="0.35">
      <c r="A2" s="14" t="s">
        <v>72</v>
      </c>
      <c r="B2" s="16">
        <v>5000</v>
      </c>
      <c r="C2" s="16">
        <v>14571</v>
      </c>
      <c r="D2" s="16">
        <v>500</v>
      </c>
      <c r="E2" s="16">
        <v>15000</v>
      </c>
      <c r="F2" s="16">
        <v>4623</v>
      </c>
      <c r="G2" s="16">
        <v>8721</v>
      </c>
      <c r="H2" s="16">
        <v>15276</v>
      </c>
      <c r="I2" s="16">
        <v>5000</v>
      </c>
      <c r="J2" s="16">
        <v>15759</v>
      </c>
      <c r="K2" s="16">
        <v>12000</v>
      </c>
      <c r="L2" s="16">
        <v>7177</v>
      </c>
      <c r="M2" s="16">
        <v>6837</v>
      </c>
      <c r="N2" s="16">
        <v>3171</v>
      </c>
      <c r="O2" s="16">
        <v>50000</v>
      </c>
      <c r="P2" s="16">
        <v>4690</v>
      </c>
      <c r="Q2" s="16">
        <v>12438</v>
      </c>
      <c r="R2" s="16">
        <v>5000</v>
      </c>
    </row>
    <row r="3" spans="1:18" x14ac:dyDescent="0.35">
      <c r="A3" s="13" t="s">
        <v>73</v>
      </c>
      <c r="B3" s="17" t="s">
        <v>76</v>
      </c>
      <c r="C3" s="17" t="s">
        <v>79</v>
      </c>
      <c r="D3" s="17" t="s">
        <v>81</v>
      </c>
      <c r="E3" s="17" t="s">
        <v>79</v>
      </c>
      <c r="F3" s="17" t="s">
        <v>82</v>
      </c>
      <c r="G3" s="17" t="s">
        <v>82</v>
      </c>
      <c r="H3" s="17" t="s">
        <v>82</v>
      </c>
      <c r="I3" s="17" t="s">
        <v>82</v>
      </c>
      <c r="J3" s="17" t="s">
        <v>79</v>
      </c>
      <c r="K3" s="17" t="s">
        <v>79</v>
      </c>
      <c r="L3" s="17" t="s">
        <v>82</v>
      </c>
      <c r="M3" s="17" t="s">
        <v>82</v>
      </c>
      <c r="N3" s="17" t="s">
        <v>81</v>
      </c>
      <c r="O3" s="17" t="s">
        <v>82</v>
      </c>
      <c r="P3" s="17" t="s">
        <v>81</v>
      </c>
      <c r="Q3" s="17" t="s">
        <v>81</v>
      </c>
      <c r="R3" s="17" t="s">
        <v>81</v>
      </c>
    </row>
    <row r="4" spans="1:18" x14ac:dyDescent="0.35">
      <c r="A4" s="13" t="s">
        <v>74</v>
      </c>
      <c r="B4" s="17" t="s">
        <v>77</v>
      </c>
      <c r="C4" s="17" t="s">
        <v>77</v>
      </c>
      <c r="D4" s="17" t="s">
        <v>77</v>
      </c>
      <c r="E4" s="17" t="s">
        <v>77</v>
      </c>
      <c r="F4" s="17" t="s">
        <v>83</v>
      </c>
      <c r="G4" s="17" t="s">
        <v>84</v>
      </c>
      <c r="H4" s="17" t="s">
        <v>83</v>
      </c>
      <c r="I4" s="17" t="s">
        <v>84</v>
      </c>
      <c r="J4" s="17" t="s">
        <v>84</v>
      </c>
      <c r="K4" s="17" t="s">
        <v>84</v>
      </c>
      <c r="L4" s="17" t="s">
        <v>83</v>
      </c>
      <c r="M4" s="17" t="s">
        <v>84</v>
      </c>
      <c r="N4" s="17" t="s">
        <v>84</v>
      </c>
      <c r="O4" s="17" t="s">
        <v>77</v>
      </c>
      <c r="P4" s="17" t="s">
        <v>83</v>
      </c>
      <c r="Q4" s="17" t="s">
        <v>77</v>
      </c>
      <c r="R4" s="17" t="s">
        <v>83</v>
      </c>
    </row>
    <row r="5" spans="1:18" x14ac:dyDescent="0.35">
      <c r="A5" s="13" t="s">
        <v>75</v>
      </c>
      <c r="B5" s="17" t="s">
        <v>78</v>
      </c>
      <c r="C5" s="17" t="s">
        <v>80</v>
      </c>
      <c r="D5" s="17" t="s">
        <v>78</v>
      </c>
      <c r="E5" s="17" t="s">
        <v>78</v>
      </c>
      <c r="F5" s="17" t="s">
        <v>78</v>
      </c>
      <c r="G5" s="17" t="s">
        <v>80</v>
      </c>
      <c r="H5" s="17" t="s">
        <v>78</v>
      </c>
      <c r="I5" s="17" t="s">
        <v>78</v>
      </c>
      <c r="J5" s="17" t="s">
        <v>78</v>
      </c>
      <c r="K5" s="17" t="s">
        <v>78</v>
      </c>
      <c r="L5" s="17" t="s">
        <v>78</v>
      </c>
      <c r="M5" s="17" t="s">
        <v>78</v>
      </c>
      <c r="N5" s="17" t="s">
        <v>78</v>
      </c>
      <c r="O5" s="17" t="s">
        <v>78</v>
      </c>
      <c r="P5" s="17" t="s">
        <v>80</v>
      </c>
      <c r="Q5" s="17" t="s">
        <v>78</v>
      </c>
      <c r="R5" s="17" t="s">
        <v>78</v>
      </c>
    </row>
    <row r="10" spans="1:18" x14ac:dyDescent="0.35">
      <c r="D10" s="13" t="s">
        <v>71</v>
      </c>
      <c r="E10" s="14" t="s">
        <v>72</v>
      </c>
      <c r="F10" s="13" t="s">
        <v>73</v>
      </c>
      <c r="G10" s="13" t="s">
        <v>74</v>
      </c>
      <c r="H10" s="13" t="s">
        <v>75</v>
      </c>
    </row>
    <row r="11" spans="1:18" x14ac:dyDescent="0.35">
      <c r="D11">
        <v>5600015</v>
      </c>
      <c r="E11">
        <f>HLOOKUP($D$11,1:5,COLUMN()-3,FALSE)</f>
        <v>4690</v>
      </c>
      <c r="F11" t="str">
        <f>HLOOKUP($D$11,1:5,COLUMN()-3,FALSE)</f>
        <v>Checking</v>
      </c>
      <c r="G11" t="str">
        <f>HLOOKUP($D$11,1:5,COLUMN()-3,FALSE)</f>
        <v>North County</v>
      </c>
      <c r="H11" t="str">
        <f>HLOOKUP($D$11,1:5,COLUMN()-3,FALSE)</f>
        <v>New</v>
      </c>
    </row>
  </sheetData>
  <dataValidations count="1">
    <dataValidation type="list" allowBlank="1" showInputMessage="1" showErrorMessage="1" sqref="D11" xr:uid="{9AC79020-F00A-4900-AC1D-0C8CD396F7AC}">
      <formula1>$B$1:$R$1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A66B6-A224-490C-A5DC-65C2643EE76A}">
  <dimension ref="A1:G13"/>
  <sheetViews>
    <sheetView workbookViewId="0">
      <selection activeCell="G2" sqref="G2"/>
    </sheetView>
  </sheetViews>
  <sheetFormatPr defaultRowHeight="14.5" x14ac:dyDescent="0.35"/>
  <cols>
    <col min="1" max="1" width="12.90625" bestFit="1" customWidth="1"/>
    <col min="2" max="2" width="16.7265625" bestFit="1" customWidth="1"/>
    <col min="3" max="3" width="9" bestFit="1" customWidth="1"/>
    <col min="6" max="6" width="16.7265625" bestFit="1" customWidth="1"/>
  </cols>
  <sheetData>
    <row r="1" spans="1:7" x14ac:dyDescent="0.35">
      <c r="A1" s="18" t="s">
        <v>85</v>
      </c>
      <c r="B1" s="18" t="s">
        <v>86</v>
      </c>
      <c r="C1" s="19" t="s">
        <v>87</v>
      </c>
      <c r="F1" s="18" t="s">
        <v>86</v>
      </c>
    </row>
    <row r="2" spans="1:7" x14ac:dyDescent="0.35">
      <c r="A2" s="3" t="s">
        <v>88</v>
      </c>
      <c r="B2" s="3" t="s">
        <v>89</v>
      </c>
      <c r="C2" s="20">
        <v>15000</v>
      </c>
      <c r="F2" s="3" t="s">
        <v>89</v>
      </c>
      <c r="G2">
        <f>SUMIF($B$2:$B$13,F2,$C$2:$C$13)</f>
        <v>104000</v>
      </c>
    </row>
    <row r="3" spans="1:7" x14ac:dyDescent="0.35">
      <c r="A3" s="3" t="s">
        <v>90</v>
      </c>
      <c r="B3" s="3" t="s">
        <v>91</v>
      </c>
      <c r="C3" s="20">
        <v>15000</v>
      </c>
      <c r="F3" s="3" t="s">
        <v>91</v>
      </c>
      <c r="G3">
        <f t="shared" ref="G3:G4" si="0">SUMIF($B$2:$B$13,F3,$C$2:$C$13)</f>
        <v>102000</v>
      </c>
    </row>
    <row r="4" spans="1:7" x14ac:dyDescent="0.35">
      <c r="A4" s="3" t="s">
        <v>92</v>
      </c>
      <c r="B4" s="3" t="s">
        <v>93</v>
      </c>
      <c r="C4" s="20">
        <v>12000</v>
      </c>
      <c r="F4" s="3" t="s">
        <v>93</v>
      </c>
      <c r="G4">
        <f t="shared" si="0"/>
        <v>49000</v>
      </c>
    </row>
    <row r="5" spans="1:7" x14ac:dyDescent="0.35">
      <c r="A5" s="3" t="s">
        <v>94</v>
      </c>
      <c r="B5" s="3" t="s">
        <v>89</v>
      </c>
      <c r="C5" s="20">
        <v>12000</v>
      </c>
    </row>
    <row r="6" spans="1:7" x14ac:dyDescent="0.35">
      <c r="A6" s="3" t="s">
        <v>95</v>
      </c>
      <c r="B6" s="3" t="s">
        <v>89</v>
      </c>
      <c r="C6" s="20">
        <v>15000</v>
      </c>
    </row>
    <row r="7" spans="1:7" x14ac:dyDescent="0.35">
      <c r="A7" s="3" t="s">
        <v>96</v>
      </c>
      <c r="B7" s="3" t="s">
        <v>91</v>
      </c>
      <c r="C7" s="20">
        <v>12000</v>
      </c>
    </row>
    <row r="8" spans="1:7" x14ac:dyDescent="0.35">
      <c r="A8" s="3" t="s">
        <v>97</v>
      </c>
      <c r="B8" s="3" t="s">
        <v>93</v>
      </c>
      <c r="C8" s="20">
        <v>12000</v>
      </c>
    </row>
    <row r="9" spans="1:7" x14ac:dyDescent="0.35">
      <c r="A9" s="3" t="s">
        <v>98</v>
      </c>
      <c r="B9" s="3" t="s">
        <v>89</v>
      </c>
      <c r="C9" s="20">
        <v>15000</v>
      </c>
    </row>
    <row r="10" spans="1:7" x14ac:dyDescent="0.35">
      <c r="A10" s="3" t="s">
        <v>99</v>
      </c>
      <c r="B10" s="3" t="s">
        <v>89</v>
      </c>
      <c r="C10" s="20">
        <v>12000</v>
      </c>
    </row>
    <row r="11" spans="1:7" x14ac:dyDescent="0.35">
      <c r="A11" s="3" t="s">
        <v>100</v>
      </c>
      <c r="B11" s="3" t="s">
        <v>91</v>
      </c>
      <c r="C11" s="20">
        <v>75000</v>
      </c>
    </row>
    <row r="12" spans="1:7" x14ac:dyDescent="0.35">
      <c r="A12" s="3" t="s">
        <v>101</v>
      </c>
      <c r="B12" s="3" t="s">
        <v>93</v>
      </c>
      <c r="C12" s="20">
        <v>25000</v>
      </c>
    </row>
    <row r="13" spans="1:7" x14ac:dyDescent="0.35">
      <c r="A13" s="3" t="s">
        <v>102</v>
      </c>
      <c r="B13" s="3" t="s">
        <v>89</v>
      </c>
      <c r="C13" s="20">
        <v>35000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FAE1A-14D3-45B7-A0E3-1A8A51B61FD5}">
  <dimension ref="A1:H13"/>
  <sheetViews>
    <sheetView workbookViewId="0">
      <selection activeCell="C9" sqref="A1:D13"/>
    </sheetView>
  </sheetViews>
  <sheetFormatPr defaultRowHeight="14.5" x14ac:dyDescent="0.35"/>
  <cols>
    <col min="1" max="1" width="10.08984375" bestFit="1" customWidth="1"/>
    <col min="2" max="2" width="14.08984375" bestFit="1" customWidth="1"/>
    <col min="3" max="3" width="11.08984375" bestFit="1" customWidth="1"/>
    <col min="4" max="4" width="7.54296875" bestFit="1" customWidth="1"/>
    <col min="6" max="6" width="14.08984375" bestFit="1" customWidth="1"/>
    <col min="7" max="7" width="5.81640625" bestFit="1" customWidth="1"/>
  </cols>
  <sheetData>
    <row r="1" spans="1:8" x14ac:dyDescent="0.35">
      <c r="A1" s="21" t="s">
        <v>103</v>
      </c>
      <c r="B1" s="21" t="s">
        <v>104</v>
      </c>
      <c r="C1" s="21" t="s">
        <v>105</v>
      </c>
      <c r="D1" s="21" t="s">
        <v>72</v>
      </c>
      <c r="F1" s="21" t="s">
        <v>104</v>
      </c>
      <c r="G1" s="23" t="s">
        <v>107</v>
      </c>
      <c r="H1" s="23" t="s">
        <v>109</v>
      </c>
    </row>
    <row r="2" spans="1:8" x14ac:dyDescent="0.35">
      <c r="A2" s="22">
        <v>43739</v>
      </c>
      <c r="B2" s="3" t="s">
        <v>106</v>
      </c>
      <c r="C2" s="3" t="s">
        <v>107</v>
      </c>
      <c r="D2" s="3">
        <v>5000</v>
      </c>
      <c r="F2" s="21" t="s">
        <v>106</v>
      </c>
      <c r="G2">
        <f>SUMIFS($D$2:$D$13,$B$2:$B$13,$F2,$C$2:$C$13,G$1)</f>
        <v>9500</v>
      </c>
      <c r="H2">
        <f>SUMIFS($D$2:$D$13,$B$2:$B$13,$F2,$C$2:$C$13,H$1)</f>
        <v>5150</v>
      </c>
    </row>
    <row r="3" spans="1:8" x14ac:dyDescent="0.35">
      <c r="A3" s="22">
        <v>43740</v>
      </c>
      <c r="B3" s="3" t="s">
        <v>108</v>
      </c>
      <c r="C3" s="3" t="s">
        <v>109</v>
      </c>
      <c r="D3" s="3">
        <v>6000</v>
      </c>
      <c r="F3" s="21" t="s">
        <v>108</v>
      </c>
      <c r="G3">
        <f t="shared" ref="G3:H4" si="0">SUMIFS($D$2:$D$13,$B$2:$B$13,$F3,$C$2:$C$13,G$1)</f>
        <v>6500</v>
      </c>
      <c r="H3">
        <f t="shared" si="0"/>
        <v>11100</v>
      </c>
    </row>
    <row r="4" spans="1:8" x14ac:dyDescent="0.35">
      <c r="A4" s="22">
        <v>43741</v>
      </c>
      <c r="B4" s="3" t="s">
        <v>106</v>
      </c>
      <c r="C4" s="3" t="s">
        <v>107</v>
      </c>
      <c r="D4" s="3">
        <v>4500</v>
      </c>
      <c r="F4" s="21" t="s">
        <v>110</v>
      </c>
      <c r="G4">
        <f t="shared" si="0"/>
        <v>10060</v>
      </c>
      <c r="H4">
        <f t="shared" si="0"/>
        <v>1450</v>
      </c>
    </row>
    <row r="5" spans="1:8" x14ac:dyDescent="0.35">
      <c r="A5" s="22">
        <v>43742</v>
      </c>
      <c r="B5" s="3" t="s">
        <v>108</v>
      </c>
      <c r="C5" s="3" t="s">
        <v>107</v>
      </c>
      <c r="D5" s="3">
        <v>6500</v>
      </c>
    </row>
    <row r="6" spans="1:8" x14ac:dyDescent="0.35">
      <c r="A6" s="22">
        <v>43743</v>
      </c>
      <c r="B6" s="3" t="s">
        <v>106</v>
      </c>
      <c r="C6" s="3" t="s">
        <v>109</v>
      </c>
      <c r="D6" s="3">
        <v>4500</v>
      </c>
    </row>
    <row r="7" spans="1:8" x14ac:dyDescent="0.35">
      <c r="A7" s="22">
        <v>43744</v>
      </c>
      <c r="B7" s="3" t="s">
        <v>110</v>
      </c>
      <c r="C7" s="3" t="s">
        <v>107</v>
      </c>
      <c r="D7" s="3">
        <v>6000</v>
      </c>
    </row>
    <row r="8" spans="1:8" x14ac:dyDescent="0.35">
      <c r="A8" s="22">
        <v>43745</v>
      </c>
      <c r="B8" s="3" t="s">
        <v>108</v>
      </c>
      <c r="C8" s="3" t="s">
        <v>109</v>
      </c>
      <c r="D8" s="3">
        <v>4500</v>
      </c>
    </row>
    <row r="9" spans="1:8" x14ac:dyDescent="0.35">
      <c r="A9" s="22">
        <v>43746</v>
      </c>
      <c r="B9" s="3" t="s">
        <v>108</v>
      </c>
      <c r="C9" s="3" t="s">
        <v>109</v>
      </c>
      <c r="D9" s="3">
        <v>600</v>
      </c>
    </row>
    <row r="10" spans="1:8" x14ac:dyDescent="0.35">
      <c r="A10" s="22">
        <v>43747</v>
      </c>
      <c r="B10" s="3" t="s">
        <v>110</v>
      </c>
      <c r="C10" s="3" t="s">
        <v>107</v>
      </c>
      <c r="D10" s="3">
        <v>1500</v>
      </c>
    </row>
    <row r="11" spans="1:8" x14ac:dyDescent="0.35">
      <c r="A11" s="22">
        <v>43748</v>
      </c>
      <c r="B11" s="3" t="s">
        <v>110</v>
      </c>
      <c r="C11" s="3" t="s">
        <v>109</v>
      </c>
      <c r="D11" s="3">
        <v>1450</v>
      </c>
    </row>
    <row r="12" spans="1:8" x14ac:dyDescent="0.35">
      <c r="A12" s="22">
        <v>43749</v>
      </c>
      <c r="B12" s="3" t="s">
        <v>106</v>
      </c>
      <c r="C12" s="3" t="s">
        <v>109</v>
      </c>
      <c r="D12" s="3">
        <v>650</v>
      </c>
    </row>
    <row r="13" spans="1:8" x14ac:dyDescent="0.35">
      <c r="A13" s="22">
        <v>43750</v>
      </c>
      <c r="B13" s="3" t="s">
        <v>110</v>
      </c>
      <c r="C13" s="3" t="s">
        <v>107</v>
      </c>
      <c r="D13" s="3">
        <v>2560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1F4DA-CE30-4CE8-90D6-D34F165A63EB}">
  <dimension ref="A1:G13"/>
  <sheetViews>
    <sheetView workbookViewId="0">
      <selection activeCell="F9" sqref="F9"/>
    </sheetView>
  </sheetViews>
  <sheetFormatPr defaultRowHeight="14.5" x14ac:dyDescent="0.35"/>
  <cols>
    <col min="1" max="1" width="10.08984375" bestFit="1" customWidth="1"/>
    <col min="2" max="2" width="14.08984375" bestFit="1" customWidth="1"/>
    <col min="3" max="3" width="11.08984375" bestFit="1" customWidth="1"/>
    <col min="4" max="4" width="17.54296875" bestFit="1" customWidth="1"/>
  </cols>
  <sheetData>
    <row r="1" spans="1:7" x14ac:dyDescent="0.35">
      <c r="A1" s="21" t="s">
        <v>103</v>
      </c>
      <c r="B1" s="21" t="s">
        <v>104</v>
      </c>
      <c r="C1" s="21" t="s">
        <v>105</v>
      </c>
      <c r="D1" s="21" t="s">
        <v>72</v>
      </c>
    </row>
    <row r="2" spans="1:7" x14ac:dyDescent="0.35">
      <c r="A2" s="22">
        <v>43739</v>
      </c>
      <c r="B2" s="3" t="s">
        <v>106</v>
      </c>
      <c r="C2" s="3" t="s">
        <v>107</v>
      </c>
      <c r="D2" s="3">
        <v>5000</v>
      </c>
    </row>
    <row r="3" spans="1:7" x14ac:dyDescent="0.35">
      <c r="A3" s="22">
        <v>43741</v>
      </c>
      <c r="B3" s="3" t="s">
        <v>106</v>
      </c>
      <c r="C3" s="3" t="s">
        <v>107</v>
      </c>
      <c r="D3" s="3">
        <v>4500</v>
      </c>
      <c r="G3">
        <f>SUBTOTAL(9,D2:D13)</f>
        <v>43760</v>
      </c>
    </row>
    <row r="4" spans="1:7" x14ac:dyDescent="0.35">
      <c r="A4" s="22">
        <v>43743</v>
      </c>
      <c r="B4" s="3" t="s">
        <v>106</v>
      </c>
      <c r="C4" s="3" t="s">
        <v>109</v>
      </c>
      <c r="D4" s="3">
        <v>4500</v>
      </c>
    </row>
    <row r="5" spans="1:7" x14ac:dyDescent="0.35">
      <c r="A5" s="22">
        <v>43749</v>
      </c>
      <c r="B5" s="3" t="s">
        <v>106</v>
      </c>
      <c r="C5" s="3" t="s">
        <v>109</v>
      </c>
      <c r="D5" s="3">
        <v>650</v>
      </c>
    </row>
    <row r="6" spans="1:7" x14ac:dyDescent="0.35">
      <c r="A6" s="22">
        <v>43744</v>
      </c>
      <c r="B6" s="3" t="s">
        <v>110</v>
      </c>
      <c r="C6" s="3" t="s">
        <v>107</v>
      </c>
      <c r="D6" s="3">
        <v>6000</v>
      </c>
    </row>
    <row r="7" spans="1:7" x14ac:dyDescent="0.35">
      <c r="A7" s="22">
        <v>43747</v>
      </c>
      <c r="B7" s="3" t="s">
        <v>110</v>
      </c>
      <c r="C7" s="3" t="s">
        <v>107</v>
      </c>
      <c r="D7" s="3">
        <v>1500</v>
      </c>
    </row>
    <row r="8" spans="1:7" x14ac:dyDescent="0.35">
      <c r="A8" s="22">
        <v>43748</v>
      </c>
      <c r="B8" s="3" t="s">
        <v>110</v>
      </c>
      <c r="C8" s="3" t="s">
        <v>109</v>
      </c>
      <c r="D8" s="3">
        <v>1450</v>
      </c>
    </row>
    <row r="9" spans="1:7" x14ac:dyDescent="0.35">
      <c r="A9" s="22">
        <v>43750</v>
      </c>
      <c r="B9" s="3" t="s">
        <v>110</v>
      </c>
      <c r="C9" s="3" t="s">
        <v>107</v>
      </c>
      <c r="D9" s="3">
        <v>2560</v>
      </c>
    </row>
    <row r="10" spans="1:7" x14ac:dyDescent="0.35">
      <c r="A10" s="22">
        <v>43740</v>
      </c>
      <c r="B10" s="3" t="s">
        <v>108</v>
      </c>
      <c r="C10" s="3" t="s">
        <v>109</v>
      </c>
      <c r="D10" s="3">
        <v>6000</v>
      </c>
    </row>
    <row r="11" spans="1:7" x14ac:dyDescent="0.35">
      <c r="A11" s="22">
        <v>43742</v>
      </c>
      <c r="B11" s="3" t="s">
        <v>108</v>
      </c>
      <c r="C11" s="3" t="s">
        <v>107</v>
      </c>
      <c r="D11" s="3">
        <v>6500</v>
      </c>
    </row>
    <row r="12" spans="1:7" x14ac:dyDescent="0.35">
      <c r="A12" s="22">
        <v>43745</v>
      </c>
      <c r="B12" s="3" t="s">
        <v>108</v>
      </c>
      <c r="C12" s="3" t="s">
        <v>109</v>
      </c>
      <c r="D12" s="3">
        <v>4500</v>
      </c>
    </row>
    <row r="13" spans="1:7" x14ac:dyDescent="0.35">
      <c r="A13" s="22">
        <v>43746</v>
      </c>
      <c r="B13" s="3" t="s">
        <v>108</v>
      </c>
      <c r="C13" s="3" t="s">
        <v>109</v>
      </c>
      <c r="D13" s="3">
        <v>600</v>
      </c>
    </row>
  </sheetData>
  <sortState xmlns:xlrd2="http://schemas.microsoft.com/office/spreadsheetml/2017/richdata2" ref="A2:D13">
    <sortCondition descending="1" ref="B2:B13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298E4-CED7-40A0-B089-E752841B7F01}">
  <dimension ref="A1:D13"/>
  <sheetViews>
    <sheetView workbookViewId="0">
      <selection activeCell="D2" sqref="D2"/>
    </sheetView>
  </sheetViews>
  <sheetFormatPr defaultRowHeight="14.5" x14ac:dyDescent="0.35"/>
  <cols>
    <col min="1" max="1" width="10.08984375" bestFit="1" customWidth="1"/>
    <col min="2" max="2" width="14.453125" bestFit="1" customWidth="1"/>
    <col min="3" max="3" width="12.26953125" bestFit="1" customWidth="1"/>
    <col min="4" max="4" width="6.7265625" bestFit="1" customWidth="1"/>
  </cols>
  <sheetData>
    <row r="1" spans="1:4" x14ac:dyDescent="0.35">
      <c r="A1" s="21" t="s">
        <v>103</v>
      </c>
      <c r="B1" s="21" t="s">
        <v>111</v>
      </c>
      <c r="C1" s="21" t="s">
        <v>112</v>
      </c>
      <c r="D1" s="21" t="s">
        <v>113</v>
      </c>
    </row>
    <row r="2" spans="1:4" x14ac:dyDescent="0.35">
      <c r="A2" s="22">
        <v>43739</v>
      </c>
      <c r="B2" s="3" t="s">
        <v>5</v>
      </c>
      <c r="C2" s="3">
        <v>15000</v>
      </c>
      <c r="D2" s="3" t="str">
        <f>IF(C2&gt;=21000,"YES","NO")</f>
        <v>NO</v>
      </c>
    </row>
    <row r="3" spans="1:4" x14ac:dyDescent="0.35">
      <c r="A3" s="22">
        <v>43740</v>
      </c>
      <c r="B3" s="3" t="s">
        <v>6</v>
      </c>
      <c r="C3" s="3">
        <v>16000</v>
      </c>
      <c r="D3" s="3" t="str">
        <f t="shared" ref="D3:D13" si="0">IF(C3&gt;=21000,"YES","NO")</f>
        <v>NO</v>
      </c>
    </row>
    <row r="4" spans="1:4" x14ac:dyDescent="0.35">
      <c r="A4" s="22">
        <v>43741</v>
      </c>
      <c r="B4" s="3" t="s">
        <v>7</v>
      </c>
      <c r="C4" s="3">
        <v>18000</v>
      </c>
      <c r="D4" s="3" t="str">
        <f t="shared" si="0"/>
        <v>NO</v>
      </c>
    </row>
    <row r="5" spans="1:4" x14ac:dyDescent="0.35">
      <c r="A5" s="22">
        <v>43742</v>
      </c>
      <c r="B5" s="3" t="s">
        <v>8</v>
      </c>
      <c r="C5" s="3">
        <v>19000</v>
      </c>
      <c r="D5" s="3" t="str">
        <f t="shared" si="0"/>
        <v>NO</v>
      </c>
    </row>
    <row r="6" spans="1:4" x14ac:dyDescent="0.35">
      <c r="A6" s="22">
        <v>43743</v>
      </c>
      <c r="B6" s="3" t="s">
        <v>9</v>
      </c>
      <c r="C6" s="3">
        <v>25000</v>
      </c>
      <c r="D6" s="3" t="str">
        <f t="shared" si="0"/>
        <v>YES</v>
      </c>
    </row>
    <row r="7" spans="1:4" x14ac:dyDescent="0.35">
      <c r="A7" s="22">
        <v>43744</v>
      </c>
      <c r="B7" s="3" t="s">
        <v>10</v>
      </c>
      <c r="C7" s="3">
        <v>22000</v>
      </c>
      <c r="D7" s="3" t="str">
        <f t="shared" si="0"/>
        <v>YES</v>
      </c>
    </row>
    <row r="8" spans="1:4" x14ac:dyDescent="0.35">
      <c r="A8" s="22">
        <v>43745</v>
      </c>
      <c r="B8" s="3" t="s">
        <v>11</v>
      </c>
      <c r="C8" s="3">
        <v>15000</v>
      </c>
      <c r="D8" s="3" t="str">
        <f t="shared" si="0"/>
        <v>NO</v>
      </c>
    </row>
    <row r="9" spans="1:4" x14ac:dyDescent="0.35">
      <c r="A9" s="22">
        <v>43746</v>
      </c>
      <c r="B9" s="3" t="s">
        <v>12</v>
      </c>
      <c r="C9" s="3">
        <v>35000</v>
      </c>
      <c r="D9" s="3" t="str">
        <f t="shared" si="0"/>
        <v>YES</v>
      </c>
    </row>
    <row r="10" spans="1:4" x14ac:dyDescent="0.35">
      <c r="A10" s="22">
        <v>43747</v>
      </c>
      <c r="B10" s="3" t="s">
        <v>13</v>
      </c>
      <c r="C10" s="3">
        <v>15000</v>
      </c>
      <c r="D10" s="3" t="str">
        <f t="shared" si="0"/>
        <v>NO</v>
      </c>
    </row>
    <row r="11" spans="1:4" x14ac:dyDescent="0.35">
      <c r="A11" s="22">
        <v>43748</v>
      </c>
      <c r="B11" s="3" t="s">
        <v>14</v>
      </c>
      <c r="C11" s="3">
        <v>35000</v>
      </c>
      <c r="D11" s="3" t="str">
        <f t="shared" si="0"/>
        <v>YES</v>
      </c>
    </row>
    <row r="12" spans="1:4" x14ac:dyDescent="0.35">
      <c r="A12" s="22">
        <v>43749</v>
      </c>
      <c r="B12" s="3" t="s">
        <v>15</v>
      </c>
      <c r="C12" s="3">
        <v>18000</v>
      </c>
      <c r="D12" s="3" t="str">
        <f t="shared" si="0"/>
        <v>NO</v>
      </c>
    </row>
    <row r="13" spans="1:4" x14ac:dyDescent="0.35">
      <c r="A13" s="22">
        <v>43750</v>
      </c>
      <c r="B13" s="3" t="s">
        <v>16</v>
      </c>
      <c r="C13" s="3">
        <v>21000</v>
      </c>
      <c r="D13" s="3" t="str">
        <f t="shared" si="0"/>
        <v>YES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4109A-1A83-4336-9C94-AF5E4FB7D01D}">
  <dimension ref="A1:H13"/>
  <sheetViews>
    <sheetView workbookViewId="0">
      <selection activeCell="J18" sqref="J18"/>
    </sheetView>
  </sheetViews>
  <sheetFormatPr defaultRowHeight="14.5" x14ac:dyDescent="0.35"/>
  <cols>
    <col min="1" max="1" width="10.08984375" bestFit="1" customWidth="1"/>
    <col min="2" max="2" width="14.453125" bestFit="1" customWidth="1"/>
    <col min="3" max="3" width="11.08984375" bestFit="1" customWidth="1"/>
    <col min="4" max="4" width="12.26953125" bestFit="1" customWidth="1"/>
    <col min="5" max="5" width="6.7265625" bestFit="1" customWidth="1"/>
    <col min="6" max="6" width="5.453125" customWidth="1"/>
  </cols>
  <sheetData>
    <row r="1" spans="1:8" x14ac:dyDescent="0.35">
      <c r="A1" s="21" t="s">
        <v>103</v>
      </c>
      <c r="B1" s="21" t="s">
        <v>111</v>
      </c>
      <c r="C1" s="21" t="s">
        <v>114</v>
      </c>
      <c r="D1" s="21" t="s">
        <v>112</v>
      </c>
      <c r="E1" s="21" t="s">
        <v>113</v>
      </c>
      <c r="F1" s="24" t="s">
        <v>115</v>
      </c>
      <c r="G1" s="25" t="s">
        <v>114</v>
      </c>
      <c r="H1" s="25" t="s">
        <v>116</v>
      </c>
    </row>
    <row r="2" spans="1:8" x14ac:dyDescent="0.35">
      <c r="A2" s="22">
        <v>43739</v>
      </c>
      <c r="B2" s="3" t="s">
        <v>5</v>
      </c>
      <c r="C2" s="3" t="s">
        <v>117</v>
      </c>
      <c r="D2" s="3">
        <v>15000</v>
      </c>
      <c r="E2" s="3" t="str">
        <f>IF(AND(C2="MANAGER",D2&gt;=20000),"YES","NO")</f>
        <v>NO</v>
      </c>
      <c r="F2" t="str">
        <f>IF(OR(C2="MANAGER",D2&gt;=20000),"YES","NO")</f>
        <v>YES</v>
      </c>
      <c r="G2" t="s">
        <v>117</v>
      </c>
      <c r="H2" t="s">
        <v>118</v>
      </c>
    </row>
    <row r="3" spans="1:8" x14ac:dyDescent="0.35">
      <c r="A3" s="22">
        <v>43740</v>
      </c>
      <c r="B3" s="3" t="s">
        <v>6</v>
      </c>
      <c r="C3" s="3" t="s">
        <v>119</v>
      </c>
      <c r="D3" s="3">
        <v>16000</v>
      </c>
      <c r="E3" s="3" t="str">
        <f t="shared" ref="E3:E13" si="0">IF(AND(C3="MANAGER",D3&gt;=20000),"YES","NO")</f>
        <v>NO</v>
      </c>
      <c r="F3" t="str">
        <f t="shared" ref="F3:F13" si="1">IF(OR(C3="MANAGER",D3&gt;=20000),"YES","NO")</f>
        <v>NO</v>
      </c>
    </row>
    <row r="4" spans="1:8" x14ac:dyDescent="0.35">
      <c r="A4" s="22">
        <v>43741</v>
      </c>
      <c r="B4" s="3" t="s">
        <v>7</v>
      </c>
      <c r="C4" s="3" t="s">
        <v>117</v>
      </c>
      <c r="D4" s="3">
        <v>18000</v>
      </c>
      <c r="E4" s="3" t="str">
        <f t="shared" si="0"/>
        <v>NO</v>
      </c>
      <c r="F4" t="str">
        <f t="shared" si="1"/>
        <v>YES</v>
      </c>
    </row>
    <row r="5" spans="1:8" x14ac:dyDescent="0.35">
      <c r="A5" s="22">
        <v>43742</v>
      </c>
      <c r="B5" s="3" t="s">
        <v>8</v>
      </c>
      <c r="C5" s="3" t="s">
        <v>120</v>
      </c>
      <c r="D5" s="3">
        <v>19000</v>
      </c>
      <c r="E5" s="3" t="str">
        <f t="shared" si="0"/>
        <v>NO</v>
      </c>
      <c r="F5" t="str">
        <f t="shared" si="1"/>
        <v>NO</v>
      </c>
    </row>
    <row r="6" spans="1:8" x14ac:dyDescent="0.35">
      <c r="A6" s="22">
        <v>43743</v>
      </c>
      <c r="B6" s="3" t="s">
        <v>9</v>
      </c>
      <c r="C6" s="3" t="s">
        <v>121</v>
      </c>
      <c r="D6" s="3">
        <v>25000</v>
      </c>
      <c r="E6" s="3" t="str">
        <f t="shared" si="0"/>
        <v>NO</v>
      </c>
      <c r="F6" t="str">
        <f t="shared" si="1"/>
        <v>YES</v>
      </c>
    </row>
    <row r="7" spans="1:8" x14ac:dyDescent="0.35">
      <c r="A7" s="22">
        <v>43744</v>
      </c>
      <c r="B7" s="3" t="s">
        <v>10</v>
      </c>
      <c r="C7" s="3" t="s">
        <v>117</v>
      </c>
      <c r="D7" s="3">
        <v>22000</v>
      </c>
      <c r="E7" s="3" t="str">
        <f t="shared" si="0"/>
        <v>YES</v>
      </c>
      <c r="F7" t="str">
        <f t="shared" si="1"/>
        <v>YES</v>
      </c>
    </row>
    <row r="8" spans="1:8" x14ac:dyDescent="0.35">
      <c r="A8" s="22">
        <v>43745</v>
      </c>
      <c r="B8" s="3" t="s">
        <v>11</v>
      </c>
      <c r="C8" s="3" t="s">
        <v>119</v>
      </c>
      <c r="D8" s="3">
        <v>15000</v>
      </c>
      <c r="E8" s="3" t="str">
        <f t="shared" si="0"/>
        <v>NO</v>
      </c>
      <c r="F8" t="str">
        <f t="shared" si="1"/>
        <v>NO</v>
      </c>
    </row>
    <row r="9" spans="1:8" x14ac:dyDescent="0.35">
      <c r="A9" s="22">
        <v>43746</v>
      </c>
      <c r="B9" s="3" t="s">
        <v>12</v>
      </c>
      <c r="C9" s="3" t="s">
        <v>117</v>
      </c>
      <c r="D9" s="3">
        <v>35000</v>
      </c>
      <c r="E9" s="3" t="str">
        <f t="shared" si="0"/>
        <v>YES</v>
      </c>
      <c r="F9" t="str">
        <f t="shared" si="1"/>
        <v>YES</v>
      </c>
    </row>
    <row r="10" spans="1:8" x14ac:dyDescent="0.35">
      <c r="A10" s="22">
        <v>43747</v>
      </c>
      <c r="B10" s="3" t="s">
        <v>13</v>
      </c>
      <c r="C10" s="3" t="s">
        <v>121</v>
      </c>
      <c r="D10" s="3">
        <v>15000</v>
      </c>
      <c r="E10" s="3" t="str">
        <f t="shared" si="0"/>
        <v>NO</v>
      </c>
      <c r="F10" t="str">
        <f t="shared" si="1"/>
        <v>NO</v>
      </c>
    </row>
    <row r="11" spans="1:8" x14ac:dyDescent="0.35">
      <c r="A11" s="22">
        <v>43748</v>
      </c>
      <c r="B11" s="3" t="s">
        <v>14</v>
      </c>
      <c r="C11" s="3" t="s">
        <v>121</v>
      </c>
      <c r="D11" s="3">
        <v>35000</v>
      </c>
      <c r="E11" s="3" t="str">
        <f t="shared" si="0"/>
        <v>NO</v>
      </c>
      <c r="F11" t="str">
        <f t="shared" si="1"/>
        <v>YES</v>
      </c>
    </row>
    <row r="12" spans="1:8" x14ac:dyDescent="0.35">
      <c r="A12" s="22">
        <v>43749</v>
      </c>
      <c r="B12" s="3" t="s">
        <v>15</v>
      </c>
      <c r="C12" s="3" t="s">
        <v>121</v>
      </c>
      <c r="D12" s="3">
        <v>18000</v>
      </c>
      <c r="E12" s="3" t="str">
        <f t="shared" si="0"/>
        <v>NO</v>
      </c>
      <c r="F12" t="str">
        <f t="shared" si="1"/>
        <v>NO</v>
      </c>
    </row>
    <row r="13" spans="1:8" x14ac:dyDescent="0.35">
      <c r="A13" s="22">
        <v>43750</v>
      </c>
      <c r="B13" s="3" t="s">
        <v>16</v>
      </c>
      <c r="C13" s="3" t="s">
        <v>121</v>
      </c>
      <c r="D13" s="3">
        <v>21000</v>
      </c>
      <c r="E13" s="3" t="str">
        <f t="shared" si="0"/>
        <v>NO</v>
      </c>
      <c r="F13" t="str">
        <f t="shared" si="1"/>
        <v>YES</v>
      </c>
    </row>
  </sheetData>
  <conditionalFormatting sqref="D1:D1048576">
    <cfRule type="cellIs" dxfId="2" priority="3" operator="greaterThan">
      <formula>20000</formula>
    </cfRule>
  </conditionalFormatting>
  <conditionalFormatting sqref="E1:E1048576">
    <cfRule type="containsText" dxfId="1" priority="1" operator="containsText" text="YES">
      <formula>NOT(ISERROR(SEARCH("YES",E1)))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37228-311B-4ECF-8338-3C00D62688D2}">
  <dimension ref="A1:H13"/>
  <sheetViews>
    <sheetView workbookViewId="0">
      <selection activeCell="G17" sqref="G17"/>
    </sheetView>
  </sheetViews>
  <sheetFormatPr defaultRowHeight="14.5" x14ac:dyDescent="0.35"/>
  <cols>
    <col min="1" max="1" width="10.08984375" bestFit="1" customWidth="1"/>
    <col min="2" max="2" width="14.453125" bestFit="1" customWidth="1"/>
    <col min="3" max="3" width="11.08984375" bestFit="1" customWidth="1"/>
    <col min="4" max="4" width="12.26953125" bestFit="1" customWidth="1"/>
    <col min="7" max="7" width="10.36328125" customWidth="1"/>
    <col min="10" max="10" width="10.08984375" bestFit="1" customWidth="1"/>
  </cols>
  <sheetData>
    <row r="1" spans="1:8" x14ac:dyDescent="0.35">
      <c r="A1" s="21" t="s">
        <v>103</v>
      </c>
      <c r="B1" s="21" t="s">
        <v>111</v>
      </c>
      <c r="C1" s="21" t="s">
        <v>114</v>
      </c>
      <c r="D1" s="21" t="s">
        <v>112</v>
      </c>
      <c r="E1" s="24" t="s">
        <v>113</v>
      </c>
    </row>
    <row r="2" spans="1:8" x14ac:dyDescent="0.35">
      <c r="A2" s="22">
        <v>43739</v>
      </c>
      <c r="B2" s="3" t="s">
        <v>5</v>
      </c>
      <c r="C2" s="3" t="s">
        <v>117</v>
      </c>
      <c r="D2" s="26">
        <v>15000</v>
      </c>
      <c r="E2">
        <f>IF(C2="MANAGER",5000,IF(C2="SUPERVISOR",3000,IF(C2="CLERK",2000,1000)))</f>
        <v>5000</v>
      </c>
      <c r="G2" t="str">
        <f>LEFT(B2,5)</f>
        <v>Ashok</v>
      </c>
      <c r="H2" t="str">
        <f>RIGHT(B2,5)</f>
        <v>Singh</v>
      </c>
    </row>
    <row r="3" spans="1:8" x14ac:dyDescent="0.35">
      <c r="A3" s="22">
        <v>43740</v>
      </c>
      <c r="B3" s="3" t="s">
        <v>6</v>
      </c>
      <c r="C3" s="3" t="s">
        <v>119</v>
      </c>
      <c r="D3" s="26">
        <v>16000</v>
      </c>
      <c r="E3">
        <f t="shared" ref="E3:E13" si="0">IF(C3="MANAGER",5000,IF(C3="SUPERVISOR",3000,IF(C3="CLERK",2000,1000)))</f>
        <v>3000</v>
      </c>
    </row>
    <row r="4" spans="1:8" x14ac:dyDescent="0.35">
      <c r="A4" s="22">
        <v>43741</v>
      </c>
      <c r="B4" s="3" t="s">
        <v>7</v>
      </c>
      <c r="C4" s="3" t="s">
        <v>117</v>
      </c>
      <c r="D4" s="26">
        <v>18000</v>
      </c>
      <c r="E4">
        <f t="shared" si="0"/>
        <v>5000</v>
      </c>
    </row>
    <row r="5" spans="1:8" x14ac:dyDescent="0.35">
      <c r="A5" s="22">
        <v>43742</v>
      </c>
      <c r="B5" s="3" t="s">
        <v>8</v>
      </c>
      <c r="C5" s="3" t="s">
        <v>120</v>
      </c>
      <c r="D5" s="26">
        <v>19000</v>
      </c>
      <c r="E5">
        <f t="shared" si="0"/>
        <v>1000</v>
      </c>
    </row>
    <row r="6" spans="1:8" x14ac:dyDescent="0.35">
      <c r="A6" s="22">
        <v>43743</v>
      </c>
      <c r="B6" s="3" t="s">
        <v>9</v>
      </c>
      <c r="C6" s="3" t="s">
        <v>121</v>
      </c>
      <c r="D6" s="26">
        <v>25000</v>
      </c>
      <c r="E6">
        <f t="shared" si="0"/>
        <v>2000</v>
      </c>
    </row>
    <row r="7" spans="1:8" x14ac:dyDescent="0.35">
      <c r="A7" s="22">
        <v>43744</v>
      </c>
      <c r="B7" s="3" t="s">
        <v>10</v>
      </c>
      <c r="C7" s="3" t="s">
        <v>117</v>
      </c>
      <c r="D7" s="26">
        <v>22000</v>
      </c>
      <c r="E7">
        <f t="shared" si="0"/>
        <v>5000</v>
      </c>
    </row>
    <row r="8" spans="1:8" x14ac:dyDescent="0.35">
      <c r="A8" s="22">
        <v>43745</v>
      </c>
      <c r="B8" s="3" t="s">
        <v>11</v>
      </c>
      <c r="C8" s="3" t="s">
        <v>119</v>
      </c>
      <c r="D8" s="26">
        <v>15000</v>
      </c>
      <c r="E8">
        <f t="shared" si="0"/>
        <v>3000</v>
      </c>
    </row>
    <row r="9" spans="1:8" x14ac:dyDescent="0.35">
      <c r="A9" s="22">
        <v>43746</v>
      </c>
      <c r="B9" s="3" t="s">
        <v>12</v>
      </c>
      <c r="C9" s="3" t="s">
        <v>117</v>
      </c>
      <c r="D9" s="26">
        <v>35000</v>
      </c>
      <c r="E9">
        <f t="shared" si="0"/>
        <v>5000</v>
      </c>
    </row>
    <row r="10" spans="1:8" x14ac:dyDescent="0.35">
      <c r="A10" s="22">
        <v>43747</v>
      </c>
      <c r="B10" s="3" t="s">
        <v>13</v>
      </c>
      <c r="C10" s="3" t="s">
        <v>121</v>
      </c>
      <c r="D10" s="26">
        <v>15000</v>
      </c>
      <c r="E10">
        <f t="shared" si="0"/>
        <v>2000</v>
      </c>
    </row>
    <row r="11" spans="1:8" x14ac:dyDescent="0.35">
      <c r="A11" s="22">
        <v>43748</v>
      </c>
      <c r="B11" s="3" t="s">
        <v>14</v>
      </c>
      <c r="C11" s="3" t="s">
        <v>121</v>
      </c>
      <c r="D11" s="26">
        <v>35000</v>
      </c>
      <c r="E11">
        <f t="shared" si="0"/>
        <v>2000</v>
      </c>
    </row>
    <row r="12" spans="1:8" x14ac:dyDescent="0.35">
      <c r="A12" s="22">
        <v>43749</v>
      </c>
      <c r="B12" s="3" t="s">
        <v>15</v>
      </c>
      <c r="C12" s="3" t="s">
        <v>121</v>
      </c>
      <c r="D12" s="26">
        <v>18000</v>
      </c>
      <c r="E12">
        <f t="shared" si="0"/>
        <v>2000</v>
      </c>
    </row>
    <row r="13" spans="1:8" x14ac:dyDescent="0.35">
      <c r="A13" s="22">
        <v>43750</v>
      </c>
      <c r="B13" s="3" t="s">
        <v>16</v>
      </c>
      <c r="C13" s="3" t="s">
        <v>121</v>
      </c>
      <c r="D13" s="26">
        <v>21000</v>
      </c>
      <c r="E13">
        <f t="shared" si="0"/>
        <v>2000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FC7AA-0969-40AA-B0AD-B9E72D265E87}">
  <dimension ref="A1:J9"/>
  <sheetViews>
    <sheetView workbookViewId="0">
      <selection activeCell="P8" sqref="P8"/>
    </sheetView>
  </sheetViews>
  <sheetFormatPr defaultRowHeight="14.5" x14ac:dyDescent="0.35"/>
  <cols>
    <col min="1" max="1" width="13.6328125" bestFit="1" customWidth="1"/>
    <col min="2" max="2" width="8.90625" bestFit="1" customWidth="1"/>
    <col min="3" max="3" width="9.26953125" bestFit="1" customWidth="1"/>
    <col min="4" max="4" width="8.90625" bestFit="1" customWidth="1"/>
    <col min="5" max="5" width="9.26953125" bestFit="1" customWidth="1"/>
    <col min="9" max="9" width="16" customWidth="1"/>
    <col min="10" max="10" width="11.36328125" customWidth="1"/>
  </cols>
  <sheetData>
    <row r="1" spans="1:10" x14ac:dyDescent="0.35">
      <c r="A1" s="39" t="s">
        <v>25</v>
      </c>
      <c r="B1" s="39"/>
      <c r="C1" s="39"/>
      <c r="D1" s="39"/>
      <c r="E1" s="39"/>
      <c r="G1" s="5"/>
      <c r="H1" s="5"/>
    </row>
    <row r="2" spans="1:10" x14ac:dyDescent="0.35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G2" s="5"/>
      <c r="H2" s="5"/>
      <c r="I2" s="40" t="s">
        <v>36</v>
      </c>
      <c r="J2" s="40"/>
    </row>
    <row r="3" spans="1:10" x14ac:dyDescent="0.35">
      <c r="A3" s="4">
        <v>0.29166666666666669</v>
      </c>
      <c r="B3" s="3" t="s">
        <v>31</v>
      </c>
      <c r="C3" s="3" t="s">
        <v>32</v>
      </c>
      <c r="D3" s="3" t="s">
        <v>33</v>
      </c>
      <c r="E3" s="3" t="s">
        <v>34</v>
      </c>
      <c r="G3" s="5"/>
      <c r="H3" s="5"/>
      <c r="I3" s="6" t="s">
        <v>37</v>
      </c>
      <c r="J3" t="s">
        <v>30</v>
      </c>
    </row>
    <row r="4" spans="1:10" x14ac:dyDescent="0.35">
      <c r="A4" s="4">
        <v>0.33333333333333298</v>
      </c>
      <c r="B4" s="3" t="s">
        <v>32</v>
      </c>
      <c r="C4" s="3" t="s">
        <v>35</v>
      </c>
      <c r="D4" s="3" t="s">
        <v>32</v>
      </c>
      <c r="E4" s="3" t="s">
        <v>33</v>
      </c>
      <c r="G4" s="5"/>
      <c r="H4" s="5"/>
      <c r="I4" s="7">
        <v>0.33333333333333298</v>
      </c>
      <c r="J4" t="str">
        <f>INDEX(A2:E9,MATCH(I4,A2:A9,0),MATCH(J3,A2:E2,0))</f>
        <v>DTP</v>
      </c>
    </row>
    <row r="5" spans="1:10" x14ac:dyDescent="0.35">
      <c r="A5" s="4">
        <v>0.375</v>
      </c>
      <c r="B5" s="3" t="s">
        <v>34</v>
      </c>
      <c r="C5" s="3" t="s">
        <v>33</v>
      </c>
      <c r="D5" s="3" t="s">
        <v>33</v>
      </c>
      <c r="E5" s="3" t="s">
        <v>32</v>
      </c>
      <c r="G5" s="5"/>
      <c r="H5" s="5"/>
    </row>
    <row r="6" spans="1:10" x14ac:dyDescent="0.35">
      <c r="A6" s="4">
        <v>0.41666666666666702</v>
      </c>
      <c r="B6" s="3" t="s">
        <v>33</v>
      </c>
      <c r="C6" s="3" t="s">
        <v>31</v>
      </c>
      <c r="D6" s="3" t="s">
        <v>34</v>
      </c>
      <c r="E6" s="3" t="s">
        <v>31</v>
      </c>
      <c r="G6" s="5"/>
      <c r="H6" s="5"/>
    </row>
    <row r="7" spans="1:10" x14ac:dyDescent="0.35">
      <c r="A7" s="4">
        <v>0.45833333333333298</v>
      </c>
      <c r="B7" s="3" t="s">
        <v>31</v>
      </c>
      <c r="C7" s="3" t="s">
        <v>32</v>
      </c>
      <c r="D7" s="3" t="s">
        <v>31</v>
      </c>
      <c r="E7" s="3" t="s">
        <v>32</v>
      </c>
      <c r="G7" s="5"/>
      <c r="H7" s="5"/>
      <c r="I7" t="s">
        <v>38</v>
      </c>
    </row>
    <row r="8" spans="1:10" x14ac:dyDescent="0.35">
      <c r="A8" s="4">
        <v>0.5</v>
      </c>
      <c r="B8" s="3" t="s">
        <v>32</v>
      </c>
      <c r="C8" s="3" t="s">
        <v>33</v>
      </c>
      <c r="D8" s="3" t="s">
        <v>32</v>
      </c>
      <c r="E8" s="3" t="s">
        <v>31</v>
      </c>
      <c r="G8" s="5"/>
      <c r="H8" s="5"/>
      <c r="I8" t="s">
        <v>39</v>
      </c>
    </row>
    <row r="9" spans="1:10" x14ac:dyDescent="0.35">
      <c r="A9" s="4">
        <v>0.54166666666666696</v>
      </c>
      <c r="B9" s="3" t="s">
        <v>34</v>
      </c>
      <c r="C9" s="3" t="s">
        <v>35</v>
      </c>
      <c r="D9" s="3" t="s">
        <v>33</v>
      </c>
      <c r="E9" s="3" t="s">
        <v>32</v>
      </c>
    </row>
  </sheetData>
  <mergeCells count="2">
    <mergeCell ref="A1:E1"/>
    <mergeCell ref="I2:J2"/>
  </mergeCells>
  <dataValidations count="2">
    <dataValidation type="list" allowBlank="1" showInputMessage="1" showErrorMessage="1" sqref="I4" xr:uid="{FCAC403F-5A0D-44B7-B7A8-A7AE540DA91F}">
      <formula1>$A$2:$A$9</formula1>
    </dataValidation>
    <dataValidation type="list" allowBlank="1" showInputMessage="1" showErrorMessage="1" sqref="J3" xr:uid="{5ADEC13D-C755-487E-8262-07202BF69277}">
      <formula1>$A$2:$E$2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40BE1-C092-4C8E-BF80-2AEC9C0A2D8C}">
  <dimension ref="A1:Q17"/>
  <sheetViews>
    <sheetView workbookViewId="0">
      <selection activeCell="G13" sqref="G13"/>
    </sheetView>
  </sheetViews>
  <sheetFormatPr defaultRowHeight="14.5" x14ac:dyDescent="0.35"/>
  <cols>
    <col min="1" max="1" width="10.6328125" bestFit="1" customWidth="1"/>
    <col min="2" max="2" width="15.08984375" bestFit="1" customWidth="1"/>
    <col min="3" max="3" width="10.81640625" bestFit="1" customWidth="1"/>
    <col min="4" max="4" width="8.36328125" bestFit="1" customWidth="1"/>
    <col min="5" max="5" width="21.36328125" bestFit="1" customWidth="1"/>
    <col min="6" max="6" width="10.7265625" bestFit="1" customWidth="1"/>
    <col min="7" max="7" width="8.36328125" bestFit="1" customWidth="1"/>
    <col min="8" max="9" width="9.36328125" bestFit="1" customWidth="1"/>
    <col min="11" max="11" width="13.81640625" bestFit="1" customWidth="1"/>
    <col min="12" max="12" width="13.26953125" bestFit="1" customWidth="1"/>
    <col min="14" max="14" width="13.453125" bestFit="1" customWidth="1"/>
    <col min="15" max="15" width="11.7265625" bestFit="1" customWidth="1"/>
  </cols>
  <sheetData>
    <row r="1" spans="1:17" ht="17" x14ac:dyDescent="0.5">
      <c r="A1" s="27" t="s">
        <v>122</v>
      </c>
      <c r="B1" s="41" t="s">
        <v>123</v>
      </c>
      <c r="C1" s="42"/>
      <c r="F1" s="28" t="s">
        <v>124</v>
      </c>
      <c r="G1" s="27" t="s">
        <v>125</v>
      </c>
      <c r="H1" s="27" t="s">
        <v>126</v>
      </c>
      <c r="I1" s="27" t="s">
        <v>127</v>
      </c>
      <c r="K1" s="43" t="s">
        <v>128</v>
      </c>
      <c r="L1" s="44"/>
      <c r="N1" s="45" t="s">
        <v>129</v>
      </c>
      <c r="O1" s="45"/>
    </row>
    <row r="2" spans="1:17" x14ac:dyDescent="0.35">
      <c r="B2" s="3" t="s">
        <v>130</v>
      </c>
      <c r="E2" s="29" t="s">
        <v>131</v>
      </c>
      <c r="F2" s="3">
        <v>1</v>
      </c>
      <c r="G2" s="30">
        <f>IPMT($C$3/12,F2,$C$5,-$C$4)</f>
        <v>833.33333333333337</v>
      </c>
      <c r="H2" s="30">
        <f>PPMT($C$3/12,F2,$C$5,-$C$4)</f>
        <v>9630.704765605522</v>
      </c>
      <c r="I2" s="30">
        <f>G2+H2</f>
        <v>10464.038098938856</v>
      </c>
      <c r="K2" s="3" t="s">
        <v>132</v>
      </c>
      <c r="L2" s="3"/>
      <c r="N2" s="3"/>
      <c r="O2" s="3"/>
    </row>
    <row r="3" spans="1:17" x14ac:dyDescent="0.35">
      <c r="A3" s="31" t="s">
        <v>133</v>
      </c>
      <c r="B3" s="3" t="s">
        <v>134</v>
      </c>
      <c r="C3" s="32">
        <v>0.1</v>
      </c>
      <c r="D3" s="3" t="s">
        <v>135</v>
      </c>
      <c r="E3" s="3" t="s">
        <v>136</v>
      </c>
      <c r="F3" s="3">
        <v>2</v>
      </c>
      <c r="G3" s="30">
        <f t="shared" ref="G3:G11" si="0">IPMT($C$3/12,F3,$C$5,-$C$4)</f>
        <v>753.07746028662052</v>
      </c>
      <c r="H3" s="30">
        <f t="shared" ref="H3:H11" si="1">PPMT($C$3/12,F3,$C$5,-$C$4)</f>
        <v>9710.9606386522355</v>
      </c>
      <c r="I3" s="30">
        <f t="shared" ref="I3:I11" si="2">G3+H3</f>
        <v>10464.038098938856</v>
      </c>
      <c r="K3" s="3" t="s">
        <v>134</v>
      </c>
      <c r="L3" s="32">
        <v>0.1</v>
      </c>
      <c r="N3" s="3" t="s">
        <v>134</v>
      </c>
      <c r="O3" s="32">
        <v>0.03</v>
      </c>
    </row>
    <row r="4" spans="1:17" x14ac:dyDescent="0.35">
      <c r="B4" s="31" t="s">
        <v>132</v>
      </c>
      <c r="C4" s="3">
        <v>100000</v>
      </c>
      <c r="D4" s="33" t="s">
        <v>137</v>
      </c>
      <c r="E4" s="3" t="s">
        <v>138</v>
      </c>
      <c r="F4" s="3">
        <v>3</v>
      </c>
      <c r="G4" s="30">
        <f t="shared" si="0"/>
        <v>672.15278829785188</v>
      </c>
      <c r="H4" s="30">
        <f t="shared" si="1"/>
        <v>9791.8853106410024</v>
      </c>
      <c r="I4" s="30">
        <f t="shared" si="2"/>
        <v>10464.038098938854</v>
      </c>
      <c r="K4" s="3" t="s">
        <v>127</v>
      </c>
      <c r="L4" s="3">
        <v>20000</v>
      </c>
      <c r="N4" s="3" t="s">
        <v>127</v>
      </c>
      <c r="O4" s="3">
        <v>5500</v>
      </c>
    </row>
    <row r="5" spans="1:17" x14ac:dyDescent="0.35">
      <c r="B5" s="31" t="s">
        <v>139</v>
      </c>
      <c r="C5" s="3">
        <v>10</v>
      </c>
      <c r="D5" s="33" t="s">
        <v>124</v>
      </c>
      <c r="E5" s="3" t="s">
        <v>140</v>
      </c>
      <c r="F5" s="3">
        <v>4</v>
      </c>
      <c r="G5" s="30">
        <f t="shared" si="0"/>
        <v>590.55374404251017</v>
      </c>
      <c r="H5" s="30">
        <f t="shared" si="1"/>
        <v>9873.4843548963454</v>
      </c>
      <c r="I5" s="30">
        <f t="shared" si="2"/>
        <v>10464.038098938856</v>
      </c>
      <c r="K5" s="3" t="s">
        <v>141</v>
      </c>
      <c r="L5" s="3">
        <v>60</v>
      </c>
      <c r="N5" s="3" t="s">
        <v>141</v>
      </c>
      <c r="O5" s="3">
        <v>12</v>
      </c>
    </row>
    <row r="6" spans="1:17" x14ac:dyDescent="0.35">
      <c r="C6" s="3"/>
      <c r="F6" s="3">
        <v>5</v>
      </c>
      <c r="G6" s="30">
        <f t="shared" si="0"/>
        <v>508.2747077517073</v>
      </c>
      <c r="H6" s="30">
        <f t="shared" si="1"/>
        <v>9955.763391187149</v>
      </c>
      <c r="I6" s="30">
        <f t="shared" si="2"/>
        <v>10464.038098938856</v>
      </c>
      <c r="Q6">
        <f>O4*O5</f>
        <v>66000</v>
      </c>
    </row>
    <row r="7" spans="1:17" x14ac:dyDescent="0.35">
      <c r="A7" s="3" t="s">
        <v>122</v>
      </c>
      <c r="B7" s="31" t="s">
        <v>127</v>
      </c>
      <c r="C7" s="34">
        <f>PMT(C3/12,C5,-C4)</f>
        <v>10464.038098938856</v>
      </c>
      <c r="F7" s="3">
        <v>6</v>
      </c>
      <c r="G7" s="30">
        <f t="shared" si="0"/>
        <v>425.31001282514779</v>
      </c>
      <c r="H7" s="30">
        <f t="shared" si="1"/>
        <v>10038.728086113708</v>
      </c>
      <c r="I7" s="30">
        <f t="shared" si="2"/>
        <v>10464.038098938856</v>
      </c>
      <c r="K7" s="3" t="s">
        <v>132</v>
      </c>
      <c r="L7" s="35">
        <f>PV(L3/12,L5,-L4)</f>
        <v>941307.38047503715</v>
      </c>
      <c r="N7" s="3" t="s">
        <v>142</v>
      </c>
      <c r="O7" s="35">
        <f>FV(O3/12,O5,-O4)</f>
        <v>66915.10520971482</v>
      </c>
    </row>
    <row r="8" spans="1:17" x14ac:dyDescent="0.35">
      <c r="A8" s="3" t="s">
        <v>143</v>
      </c>
      <c r="B8" s="31" t="s">
        <v>144</v>
      </c>
      <c r="C8" s="3">
        <f>C7*C5</f>
        <v>104640.38098938856</v>
      </c>
      <c r="E8" s="36"/>
      <c r="F8" s="3">
        <v>7</v>
      </c>
      <c r="G8" s="30">
        <f t="shared" si="0"/>
        <v>341.65394544086683</v>
      </c>
      <c r="H8" s="30">
        <f t="shared" si="1"/>
        <v>10122.384153497989</v>
      </c>
      <c r="I8" s="30">
        <f t="shared" si="2"/>
        <v>10464.038098938856</v>
      </c>
    </row>
    <row r="9" spans="1:17" x14ac:dyDescent="0.35">
      <c r="A9" s="3" t="s">
        <v>145</v>
      </c>
      <c r="B9" s="31" t="s">
        <v>146</v>
      </c>
      <c r="C9" s="30">
        <f>C8-C4</f>
        <v>4640.3809893885627</v>
      </c>
      <c r="E9" s="37"/>
      <c r="F9" s="3">
        <v>8</v>
      </c>
      <c r="G9" s="30">
        <f t="shared" si="0"/>
        <v>257.30074416171698</v>
      </c>
      <c r="H9" s="30">
        <f t="shared" si="1"/>
        <v>10206.73735477714</v>
      </c>
      <c r="I9" s="30">
        <f t="shared" si="2"/>
        <v>10464.038098938858</v>
      </c>
    </row>
    <row r="10" spans="1:17" x14ac:dyDescent="0.35">
      <c r="F10" s="3">
        <v>9</v>
      </c>
      <c r="G10" s="30">
        <f t="shared" si="0"/>
        <v>172.24459953857416</v>
      </c>
      <c r="H10" s="30">
        <f t="shared" si="1"/>
        <v>10291.793499400283</v>
      </c>
      <c r="I10" s="30">
        <f t="shared" si="2"/>
        <v>10464.038098938856</v>
      </c>
    </row>
    <row r="11" spans="1:17" x14ac:dyDescent="0.35">
      <c r="C11" s="36"/>
      <c r="F11" s="3">
        <v>10</v>
      </c>
      <c r="G11" s="30">
        <f t="shared" si="0"/>
        <v>86.47965371023848</v>
      </c>
      <c r="H11" s="30">
        <f t="shared" si="1"/>
        <v>10377.558445228618</v>
      </c>
      <c r="I11" s="30">
        <f t="shared" si="2"/>
        <v>10464.038098938858</v>
      </c>
    </row>
    <row r="12" spans="1:17" x14ac:dyDescent="0.35">
      <c r="F12" s="3"/>
      <c r="G12" s="30">
        <f>SUM(G2:G11)</f>
        <v>4640.3809893885682</v>
      </c>
      <c r="H12" s="30">
        <f>SUM(H2:H11)</f>
        <v>100000</v>
      </c>
      <c r="I12" s="30">
        <f>SUM(I2:I11)</f>
        <v>104640.38098938856</v>
      </c>
    </row>
    <row r="14" spans="1:17" x14ac:dyDescent="0.35">
      <c r="H14" s="38"/>
    </row>
    <row r="15" spans="1:17" x14ac:dyDescent="0.35">
      <c r="D15" s="46" t="s">
        <v>147</v>
      </c>
      <c r="E15" s="46"/>
      <c r="H15" t="s">
        <v>148</v>
      </c>
      <c r="I15" t="s">
        <v>126</v>
      </c>
      <c r="K15" t="s">
        <v>124</v>
      </c>
      <c r="L15" t="s">
        <v>126</v>
      </c>
    </row>
    <row r="16" spans="1:17" x14ac:dyDescent="0.35">
      <c r="D16" s="36">
        <f>C4-H2</f>
        <v>90369.295234394478</v>
      </c>
      <c r="E16" s="36">
        <f>PMT(C3/12,9,-D16)</f>
        <v>10464.038098938856</v>
      </c>
      <c r="H16">
        <v>5</v>
      </c>
      <c r="I16">
        <f>INDEX(F1:I11,MATCH(H16,F1:F11,0),MATCH(I15,F1:I1,0))</f>
        <v>9955.763391187149</v>
      </c>
      <c r="K16">
        <v>4</v>
      </c>
      <c r="L16">
        <v>508.2747077517073</v>
      </c>
    </row>
    <row r="17" spans="4:5" x14ac:dyDescent="0.35">
      <c r="D17" s="36">
        <f>D16-H3</f>
        <v>80658.334595742243</v>
      </c>
      <c r="E17" s="36">
        <f>PMT(C3/12,8,-D17)</f>
        <v>10464.038098938858</v>
      </c>
    </row>
  </sheetData>
  <mergeCells count="4">
    <mergeCell ref="B1:C1"/>
    <mergeCell ref="K1:L1"/>
    <mergeCell ref="N1:O1"/>
    <mergeCell ref="D15:E15"/>
  </mergeCells>
  <conditionalFormatting sqref="F2:I11">
    <cfRule type="expression" dxfId="0" priority="5">
      <formula>$K$16=$F2</formula>
    </cfRule>
  </conditionalFormatting>
  <dataValidations count="4">
    <dataValidation type="list" allowBlank="1" showInputMessage="1" showErrorMessage="1" sqref="K16" xr:uid="{A7E1E1DA-910C-4A31-9EDC-1835B9A8C580}">
      <formula1>$F$2:$F$11</formula1>
    </dataValidation>
    <dataValidation type="list" allowBlank="1" showInputMessage="1" showErrorMessage="1" sqref="H16" xr:uid="{ACAA8BA3-0119-410B-8A71-33009E0B13ED}">
      <formula1>$F$1:$F$11</formula1>
    </dataValidation>
    <dataValidation type="list" allowBlank="1" showInputMessage="1" showErrorMessage="1" sqref="I15" xr:uid="{F65998B7-A4A6-4E4E-9C49-FFFC75DF2733}">
      <formula1>$F$1:$I$1</formula1>
    </dataValidation>
    <dataValidation type="list" allowBlank="1" showInputMessage="1" showErrorMessage="1" sqref="L16" xr:uid="{10F054E3-B3B4-4D64-8720-39E8775ABDAC}">
      <formula1>$G$2:$G$11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FREQUENCY</vt:lpstr>
      <vt:lpstr>LOOKUP</vt:lpstr>
      <vt:lpstr>VLOOKUP</vt:lpstr>
      <vt:lpstr>HLOOKUP</vt:lpstr>
      <vt:lpstr>SUMIF</vt:lpstr>
      <vt:lpstr>SUMIFS</vt:lpstr>
      <vt:lpstr>SUBTOTAL</vt:lpstr>
      <vt:lpstr>IF FORMULA</vt:lpstr>
      <vt:lpstr>IF AND, OR FORMULA</vt:lpstr>
      <vt:lpstr>Sheet4</vt:lpstr>
      <vt:lpstr>INDEX &amp; MATCH</vt:lpstr>
      <vt:lpstr>Sheet1</vt:lpstr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RIYAZ ALI NANDOLIYA</cp:lastModifiedBy>
  <dcterms:created xsi:type="dcterms:W3CDTF">2015-06-05T18:17:20Z</dcterms:created>
  <dcterms:modified xsi:type="dcterms:W3CDTF">2026-01-09T14:55:43Z</dcterms:modified>
</cp:coreProperties>
</file>